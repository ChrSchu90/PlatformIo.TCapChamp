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8C6F051F-0E22-466A-B5B1-73D079489938}" xr6:coauthVersionLast="47" xr6:coauthVersionMax="47" xr10:uidLastSave="{00000000-0000-0000-0000-000000000000}"/>
  <bookViews>
    <workbookView xWindow="31350" yWindow="1080" windowWidth="34125" windowHeight="19740" xr2:uid="{220EE5E5-C4A7-4A65-B2E7-EC1099759D14}"/>
  </bookViews>
  <sheets>
    <sheet name="Temperature Output" sheetId="4" r:id="rId1"/>
    <sheet name="Adjustment" sheetId="1" r:id="rId2"/>
    <sheet name="NTC PAW-A2W-TSOD" sheetId="6" r:id="rId3"/>
    <sheet name="MCP4151" sheetId="7" r:id="rId4"/>
    <sheet name="Parallel Resistor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7" l="1"/>
  <c r="A257" i="7"/>
  <c r="A256" i="7" s="1"/>
  <c r="A255" i="7" s="1"/>
  <c r="A254" i="7" s="1"/>
  <c r="A253" i="7" s="1"/>
  <c r="A252" i="7" s="1"/>
  <c r="A251" i="7" s="1"/>
  <c r="A250" i="7" s="1"/>
  <c r="A249" i="7" s="1"/>
  <c r="A248" i="7" s="1"/>
  <c r="A247" i="7" s="1"/>
  <c r="A246" i="7" s="1"/>
  <c r="A245" i="7" s="1"/>
  <c r="A244" i="7" s="1"/>
  <c r="A243" i="7" s="1"/>
  <c r="A242" i="7" s="1"/>
  <c r="A241" i="7" s="1"/>
  <c r="A240" i="7" s="1"/>
  <c r="A239" i="7" s="1"/>
  <c r="A238" i="7" s="1"/>
  <c r="A237" i="7" s="1"/>
  <c r="A236" i="7" s="1"/>
  <c r="A235" i="7" s="1"/>
  <c r="A234" i="7" s="1"/>
  <c r="A233" i="7" s="1"/>
  <c r="A232" i="7" s="1"/>
  <c r="A231" i="7" s="1"/>
  <c r="A230" i="7" s="1"/>
  <c r="A229" i="7" s="1"/>
  <c r="A228" i="7" s="1"/>
  <c r="A227" i="7" s="1"/>
  <c r="A226" i="7" s="1"/>
  <c r="A225" i="7" s="1"/>
  <c r="A224" i="7" s="1"/>
  <c r="A223" i="7" s="1"/>
  <c r="A222" i="7" s="1"/>
  <c r="A221" i="7" s="1"/>
  <c r="A220" i="7" s="1"/>
  <c r="A219" i="7" s="1"/>
  <c r="A218" i="7" s="1"/>
  <c r="A217" i="7" s="1"/>
  <c r="A216" i="7" s="1"/>
  <c r="A215" i="7" s="1"/>
  <c r="A214" i="7" s="1"/>
  <c r="A213" i="7" s="1"/>
  <c r="A212" i="7" s="1"/>
  <c r="A211" i="7" s="1"/>
  <c r="A210" i="7" s="1"/>
  <c r="A209" i="7" s="1"/>
  <c r="A208" i="7" s="1"/>
  <c r="A207" i="7" s="1"/>
  <c r="A206" i="7" s="1"/>
  <c r="A205" i="7" s="1"/>
  <c r="A204" i="7" s="1"/>
  <c r="A203" i="7" s="1"/>
  <c r="A202" i="7" s="1"/>
  <c r="A201" i="7" s="1"/>
  <c r="A200" i="7" s="1"/>
  <c r="A199" i="7" s="1"/>
  <c r="A198" i="7" s="1"/>
  <c r="A197" i="7" s="1"/>
  <c r="A196" i="7" s="1"/>
  <c r="A195" i="7" s="1"/>
  <c r="A194" i="7" s="1"/>
  <c r="A193" i="7" s="1"/>
  <c r="A192" i="7" s="1"/>
  <c r="A191" i="7" s="1"/>
  <c r="A190" i="7" s="1"/>
  <c r="A189" i="7" s="1"/>
  <c r="A188" i="7" s="1"/>
  <c r="A187" i="7" s="1"/>
  <c r="A186" i="7" s="1"/>
  <c r="A185" i="7" s="1"/>
  <c r="A184" i="7" s="1"/>
  <c r="A183" i="7" s="1"/>
  <c r="A182" i="7" s="1"/>
  <c r="A181" i="7" s="1"/>
  <c r="A180" i="7" s="1"/>
  <c r="A179" i="7" s="1"/>
  <c r="A178" i="7" s="1"/>
  <c r="A177" i="7" s="1"/>
  <c r="A176" i="7" s="1"/>
  <c r="A175" i="7" s="1"/>
  <c r="A174" i="7" s="1"/>
  <c r="A173" i="7" s="1"/>
  <c r="A172" i="7" s="1"/>
  <c r="A171" i="7" s="1"/>
  <c r="A170" i="7" s="1"/>
  <c r="A169" i="7" s="1"/>
  <c r="A168" i="7" s="1"/>
  <c r="A167" i="7" s="1"/>
  <c r="A166" i="7" s="1"/>
  <c r="A165" i="7" s="1"/>
  <c r="A164" i="7" s="1"/>
  <c r="A163" i="7" s="1"/>
  <c r="A162" i="7" s="1"/>
  <c r="A161" i="7" s="1"/>
  <c r="A160" i="7" s="1"/>
  <c r="A159" i="7" s="1"/>
  <c r="A158" i="7" s="1"/>
  <c r="A157" i="7" s="1"/>
  <c r="A156" i="7" s="1"/>
  <c r="A155" i="7" s="1"/>
  <c r="A154" i="7" s="1"/>
  <c r="A153" i="7" s="1"/>
  <c r="A152" i="7" s="1"/>
  <c r="A151" i="7" s="1"/>
  <c r="A150" i="7" s="1"/>
  <c r="A149" i="7" s="1"/>
  <c r="A148" i="7" s="1"/>
  <c r="A147" i="7" s="1"/>
  <c r="A146" i="7" s="1"/>
  <c r="A145" i="7" s="1"/>
  <c r="A144" i="7" s="1"/>
  <c r="A143" i="7" s="1"/>
  <c r="A142" i="7" s="1"/>
  <c r="A141" i="7" s="1"/>
  <c r="A140" i="7" s="1"/>
  <c r="A139" i="7" s="1"/>
  <c r="A138" i="7" s="1"/>
  <c r="A137" i="7" s="1"/>
  <c r="A136" i="7" s="1"/>
  <c r="A135" i="7" s="1"/>
  <c r="A134" i="7" s="1"/>
  <c r="A133" i="7" s="1"/>
  <c r="A132" i="7" s="1"/>
  <c r="A131" i="7" s="1"/>
  <c r="A130" i="7" s="1"/>
  <c r="A129" i="7" s="1"/>
  <c r="A128" i="7" s="1"/>
  <c r="A127" i="7" s="1"/>
  <c r="A126" i="7" s="1"/>
  <c r="A125" i="7" s="1"/>
  <c r="A124" i="7" s="1"/>
  <c r="A123" i="7" s="1"/>
  <c r="A122" i="7" s="1"/>
  <c r="A121" i="7" s="1"/>
  <c r="A120" i="7" s="1"/>
  <c r="A119" i="7" s="1"/>
  <c r="A118" i="7" s="1"/>
  <c r="A117" i="7" s="1"/>
  <c r="A116" i="7" s="1"/>
  <c r="A115" i="7" s="1"/>
  <c r="A114" i="7" s="1"/>
  <c r="A113" i="7" s="1"/>
  <c r="A112" i="7" s="1"/>
  <c r="A111" i="7" s="1"/>
  <c r="A110" i="7" s="1"/>
  <c r="A109" i="7" s="1"/>
  <c r="A108" i="7" s="1"/>
  <c r="A107" i="7" s="1"/>
  <c r="A106" i="7" s="1"/>
  <c r="A105" i="7" s="1"/>
  <c r="A104" i="7" s="1"/>
  <c r="A103" i="7" s="1"/>
  <c r="A102" i="7" s="1"/>
  <c r="A101" i="7" s="1"/>
  <c r="A100" i="7" s="1"/>
  <c r="A99" i="7" s="1"/>
  <c r="A98" i="7" s="1"/>
  <c r="A97" i="7" s="1"/>
  <c r="A96" i="7" s="1"/>
  <c r="A95" i="7" s="1"/>
  <c r="A94" i="7" s="1"/>
  <c r="A93" i="7" s="1"/>
  <c r="A92" i="7" s="1"/>
  <c r="A91" i="7" s="1"/>
  <c r="A90" i="7" s="1"/>
  <c r="A89" i="7" s="1"/>
  <c r="A88" i="7" s="1"/>
  <c r="A87" i="7" s="1"/>
  <c r="A86" i="7" s="1"/>
  <c r="A85" i="7" s="1"/>
  <c r="A84" i="7" s="1"/>
  <c r="A83" i="7" s="1"/>
  <c r="A82" i="7" s="1"/>
  <c r="A81" i="7" s="1"/>
  <c r="A80" i="7" s="1"/>
  <c r="A79" i="7" s="1"/>
  <c r="A78" i="7" s="1"/>
  <c r="A77" i="7" s="1"/>
  <c r="A76" i="7" s="1"/>
  <c r="A75" i="7" s="1"/>
  <c r="A74" i="7" s="1"/>
  <c r="A73" i="7" s="1"/>
  <c r="A72" i="7" s="1"/>
  <c r="A71" i="7" s="1"/>
  <c r="A70" i="7" s="1"/>
  <c r="A69" i="7" s="1"/>
  <c r="A68" i="7" s="1"/>
  <c r="A67" i="7" s="1"/>
  <c r="A66" i="7" s="1"/>
  <c r="A65" i="7" s="1"/>
  <c r="A64" i="7" s="1"/>
  <c r="A63" i="7" s="1"/>
  <c r="A62" i="7" s="1"/>
  <c r="A61" i="7" s="1"/>
  <c r="A60" i="7" s="1"/>
  <c r="A59" i="7" s="1"/>
  <c r="A58" i="7" s="1"/>
  <c r="A57" i="7" s="1"/>
  <c r="A56" i="7" s="1"/>
  <c r="A55" i="7" s="1"/>
  <c r="A54" i="7" s="1"/>
  <c r="A53" i="7" s="1"/>
  <c r="A52" i="7" s="1"/>
  <c r="A51" i="7" s="1"/>
  <c r="A50" i="7" s="1"/>
  <c r="A49" i="7" s="1"/>
  <c r="A48" i="7" s="1"/>
  <c r="A47" i="7" s="1"/>
  <c r="A46" i="7" s="1"/>
  <c r="A45" i="7" s="1"/>
  <c r="A44" i="7" s="1"/>
  <c r="A43" i="7" s="1"/>
  <c r="A42" i="7" s="1"/>
  <c r="A41" i="7" s="1"/>
  <c r="A40" i="7" s="1"/>
  <c r="A39" i="7" s="1"/>
  <c r="A38" i="7" s="1"/>
  <c r="A37" i="7" s="1"/>
  <c r="A36" i="7" s="1"/>
  <c r="A35" i="7" s="1"/>
  <c r="A34" i="7" s="1"/>
  <c r="A33" i="7" s="1"/>
  <c r="A32" i="7" s="1"/>
  <c r="A31" i="7" s="1"/>
  <c r="A30" i="7" s="1"/>
  <c r="A29" i="7" s="1"/>
  <c r="A28" i="7" s="1"/>
  <c r="A27" i="7" s="1"/>
  <c r="A26" i="7" s="1"/>
  <c r="A25" i="7" s="1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A14" i="7" s="1"/>
  <c r="A13" i="7" s="1"/>
  <c r="A12" i="7" s="1"/>
  <c r="A11" i="7" s="1"/>
  <c r="A10" i="7" s="1"/>
  <c r="A9" i="7" s="1"/>
  <c r="A8" i="7" s="1"/>
  <c r="A7" i="7" s="1"/>
  <c r="A6" i="7" s="1"/>
  <c r="A5" i="7" s="1"/>
  <c r="A4" i="7" s="1"/>
  <c r="A3" i="7" s="1"/>
  <c r="A2" i="7" s="1"/>
  <c r="N2" i="7"/>
  <c r="H2" i="7"/>
  <c r="B258" i="7" s="1"/>
  <c r="D3" i="6"/>
  <c r="D4" i="6" s="1"/>
  <c r="L2" i="6"/>
  <c r="M2" i="6"/>
  <c r="L3" i="6"/>
  <c r="M3" i="6"/>
  <c r="J6" i="6" s="1"/>
  <c r="L4" i="6"/>
  <c r="M4" i="6"/>
  <c r="J7" i="6" s="1"/>
  <c r="J18" i="6"/>
  <c r="M21" i="6"/>
  <c r="M22" i="6" s="1"/>
  <c r="M23" i="6" s="1"/>
  <c r="N21" i="6"/>
  <c r="N22" i="6" s="1"/>
  <c r="N23" i="6" s="1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257" i="7" l="1"/>
  <c r="D5" i="6"/>
  <c r="J8" i="6"/>
  <c r="J9" i="6"/>
  <c r="B256" i="7" l="1"/>
  <c r="D6" i="6"/>
  <c r="J14" i="6"/>
  <c r="J13" i="6" s="1"/>
  <c r="B255" i="7" l="1"/>
  <c r="D7" i="6"/>
  <c r="J12" i="6"/>
  <c r="E4" i="6" s="1"/>
  <c r="F4" i="6" s="1"/>
  <c r="G4" i="6" l="1"/>
  <c r="B4" i="8" s="1"/>
  <c r="A4" i="8"/>
  <c r="C4" i="8" s="1"/>
  <c r="E6" i="6"/>
  <c r="F6" i="6" s="1"/>
  <c r="C256" i="7"/>
  <c r="E5" i="6"/>
  <c r="F5" i="6" s="1"/>
  <c r="E3" i="6"/>
  <c r="F3" i="6" s="1"/>
  <c r="C258" i="7"/>
  <c r="C257" i="7"/>
  <c r="E2" i="6"/>
  <c r="F2" i="6" s="1"/>
  <c r="C255" i="7"/>
  <c r="B254" i="7"/>
  <c r="D8" i="6"/>
  <c r="E7" i="6"/>
  <c r="F7" i="6" s="1"/>
  <c r="L21" i="6"/>
  <c r="K21" i="6"/>
  <c r="N17" i="6"/>
  <c r="O17" i="6" s="1"/>
  <c r="K17" i="6" s="1"/>
  <c r="L17" i="6" s="1"/>
  <c r="M17" i="6" s="1"/>
  <c r="D2" i="4"/>
  <c r="D26" i="4"/>
  <c r="D50" i="4"/>
  <c r="D74" i="4"/>
  <c r="D98" i="4"/>
  <c r="D122" i="4"/>
  <c r="D146" i="4"/>
  <c r="D170" i="4"/>
  <c r="D194" i="4"/>
  <c r="D218" i="4"/>
  <c r="D242" i="4"/>
  <c r="D3" i="4"/>
  <c r="D27" i="4"/>
  <c r="D51" i="4"/>
  <c r="D75" i="4"/>
  <c r="D99" i="4"/>
  <c r="D123" i="4"/>
  <c r="D147" i="4"/>
  <c r="D171" i="4"/>
  <c r="D195" i="4"/>
  <c r="D219" i="4"/>
  <c r="D243" i="4"/>
  <c r="D4" i="4"/>
  <c r="D28" i="4"/>
  <c r="D52" i="4"/>
  <c r="D76" i="4"/>
  <c r="D100" i="4"/>
  <c r="D124" i="4"/>
  <c r="D148" i="4"/>
  <c r="D172" i="4"/>
  <c r="D196" i="4"/>
  <c r="D220" i="4"/>
  <c r="D244" i="4"/>
  <c r="D5" i="4"/>
  <c r="D29" i="4"/>
  <c r="D53" i="4"/>
  <c r="D77" i="4"/>
  <c r="D101" i="4"/>
  <c r="D125" i="4"/>
  <c r="D149" i="4"/>
  <c r="D173" i="4"/>
  <c r="D197" i="4"/>
  <c r="D221" i="4"/>
  <c r="D245" i="4"/>
  <c r="D6" i="4"/>
  <c r="D30" i="4"/>
  <c r="D54" i="4"/>
  <c r="D78" i="4"/>
  <c r="D102" i="4"/>
  <c r="D126" i="4"/>
  <c r="D150" i="4"/>
  <c r="D174" i="4"/>
  <c r="D198" i="4"/>
  <c r="D222" i="4"/>
  <c r="D246" i="4"/>
  <c r="D7" i="4"/>
  <c r="D31" i="4"/>
  <c r="D55" i="4"/>
  <c r="D79" i="4"/>
  <c r="D103" i="4"/>
  <c r="D127" i="4"/>
  <c r="D151" i="4"/>
  <c r="D175" i="4"/>
  <c r="D199" i="4"/>
  <c r="D223" i="4"/>
  <c r="D247" i="4"/>
  <c r="D8" i="4"/>
  <c r="D32" i="4"/>
  <c r="D56" i="4"/>
  <c r="D80" i="4"/>
  <c r="D104" i="4"/>
  <c r="D128" i="4"/>
  <c r="D152" i="4"/>
  <c r="D176" i="4"/>
  <c r="D200" i="4"/>
  <c r="D224" i="4"/>
  <c r="D248" i="4"/>
  <c r="D9" i="4"/>
  <c r="D57" i="4"/>
  <c r="D81" i="4"/>
  <c r="D105" i="4"/>
  <c r="D129" i="4"/>
  <c r="D153" i="4"/>
  <c r="D177" i="4"/>
  <c r="D201" i="4"/>
  <c r="D33" i="4"/>
  <c r="D15" i="4"/>
  <c r="D10" i="4"/>
  <c r="D43" i="4"/>
  <c r="D83" i="4"/>
  <c r="D115" i="4"/>
  <c r="D155" i="4"/>
  <c r="D187" i="4"/>
  <c r="D226" i="4"/>
  <c r="D12" i="4"/>
  <c r="D85" i="4"/>
  <c r="D117" i="4"/>
  <c r="D157" i="4"/>
  <c r="D189" i="4"/>
  <c r="D228" i="4"/>
  <c r="D13" i="4"/>
  <c r="D46" i="4"/>
  <c r="D118" i="4"/>
  <c r="D190" i="4"/>
  <c r="D16" i="4"/>
  <c r="D88" i="4"/>
  <c r="D160" i="4"/>
  <c r="D231" i="4"/>
  <c r="D17" i="4"/>
  <c r="D161" i="4"/>
  <c r="D90" i="4"/>
  <c r="D130" i="4"/>
  <c r="D202" i="4"/>
  <c r="D91" i="4"/>
  <c r="D203" i="4"/>
  <c r="D60" i="4"/>
  <c r="D164" i="4"/>
  <c r="D235" i="4"/>
  <c r="D61" i="4"/>
  <c r="D165" i="4"/>
  <c r="D62" i="4"/>
  <c r="D166" i="4"/>
  <c r="D23" i="4"/>
  <c r="D167" i="4"/>
  <c r="D64" i="4"/>
  <c r="D239" i="4"/>
  <c r="D65" i="4"/>
  <c r="D169" i="4"/>
  <c r="D66" i="4"/>
  <c r="D178" i="4"/>
  <c r="D67" i="4"/>
  <c r="D179" i="4"/>
  <c r="D140" i="4"/>
  <c r="D37" i="4"/>
  <c r="D11" i="4"/>
  <c r="D44" i="4"/>
  <c r="D84" i="4"/>
  <c r="D116" i="4"/>
  <c r="D156" i="4"/>
  <c r="D188" i="4"/>
  <c r="D227" i="4"/>
  <c r="D45" i="4"/>
  <c r="D86" i="4"/>
  <c r="D158" i="4"/>
  <c r="D229" i="4"/>
  <c r="D47" i="4"/>
  <c r="D119" i="4"/>
  <c r="D159" i="4"/>
  <c r="D191" i="4"/>
  <c r="D120" i="4"/>
  <c r="D89" i="4"/>
  <c r="D121" i="4"/>
  <c r="D232" i="4"/>
  <c r="D18" i="4"/>
  <c r="D233" i="4"/>
  <c r="D59" i="4"/>
  <c r="D131" i="4"/>
  <c r="D20" i="4"/>
  <c r="D132" i="4"/>
  <c r="D204" i="4"/>
  <c r="D93" i="4"/>
  <c r="D236" i="4"/>
  <c r="D134" i="4"/>
  <c r="D237" i="4"/>
  <c r="D63" i="4"/>
  <c r="D238" i="4"/>
  <c r="D96" i="4"/>
  <c r="D208" i="4"/>
  <c r="D25" i="4"/>
  <c r="D209" i="4"/>
  <c r="D106" i="4"/>
  <c r="D139" i="4"/>
  <c r="D249" i="4"/>
  <c r="D108" i="4"/>
  <c r="D212" i="4"/>
  <c r="D141" i="4"/>
  <c r="D181" i="4"/>
  <c r="D70" i="4"/>
  <c r="D111" i="4"/>
  <c r="D183" i="4"/>
  <c r="D40" i="4"/>
  <c r="D184" i="4"/>
  <c r="D41" i="4"/>
  <c r="D113" i="4"/>
  <c r="D185" i="4"/>
  <c r="D82" i="4"/>
  <c r="D186" i="4"/>
  <c r="D21" i="4"/>
  <c r="D163" i="4"/>
  <c r="D22" i="4"/>
  <c r="D207" i="4"/>
  <c r="D136" i="4"/>
  <c r="D168" i="4"/>
  <c r="D97" i="4"/>
  <c r="D240" i="4"/>
  <c r="D138" i="4"/>
  <c r="D35" i="4"/>
  <c r="D36" i="4"/>
  <c r="D180" i="4"/>
  <c r="D69" i="4"/>
  <c r="D213" i="4"/>
  <c r="D110" i="4"/>
  <c r="D182" i="4"/>
  <c r="D214" i="4"/>
  <c r="D71" i="4"/>
  <c r="D114" i="4"/>
  <c r="D225" i="4"/>
  <c r="D14" i="4"/>
  <c r="D87" i="4"/>
  <c r="D230" i="4"/>
  <c r="D48" i="4"/>
  <c r="D192" i="4"/>
  <c r="D49" i="4"/>
  <c r="D193" i="4"/>
  <c r="D58" i="4"/>
  <c r="D162" i="4"/>
  <c r="D19" i="4"/>
  <c r="D234" i="4"/>
  <c r="D92" i="4"/>
  <c r="D133" i="4"/>
  <c r="D205" i="4"/>
  <c r="D94" i="4"/>
  <c r="D206" i="4"/>
  <c r="D95" i="4"/>
  <c r="D135" i="4"/>
  <c r="D24" i="4"/>
  <c r="D137" i="4"/>
  <c r="D34" i="4"/>
  <c r="D241" i="4"/>
  <c r="D107" i="4"/>
  <c r="D211" i="4"/>
  <c r="D68" i="4"/>
  <c r="D250" i="4"/>
  <c r="D109" i="4"/>
  <c r="D251" i="4"/>
  <c r="D38" i="4"/>
  <c r="D252" i="4"/>
  <c r="D143" i="4"/>
  <c r="D215" i="4"/>
  <c r="D72" i="4"/>
  <c r="D144" i="4"/>
  <c r="D216" i="4"/>
  <c r="D73" i="4"/>
  <c r="D145" i="4"/>
  <c r="D217" i="4"/>
  <c r="D42" i="4"/>
  <c r="D154" i="4"/>
  <c r="D210" i="4"/>
  <c r="D142" i="4"/>
  <c r="D39" i="4"/>
  <c r="D112" i="4"/>
  <c r="D4" i="8" l="1"/>
  <c r="G7" i="6"/>
  <c r="B7" i="8" s="1"/>
  <c r="A7" i="8"/>
  <c r="C7" i="8" s="1"/>
  <c r="G2" i="6"/>
  <c r="B2" i="8" s="1"/>
  <c r="A2" i="8"/>
  <c r="C2" i="8" s="1"/>
  <c r="G3" i="6"/>
  <c r="B3" i="8" s="1"/>
  <c r="A3" i="8"/>
  <c r="C3" i="8" s="1"/>
  <c r="G5" i="6"/>
  <c r="B5" i="8" s="1"/>
  <c r="A5" i="8"/>
  <c r="C5" i="8" s="1"/>
  <c r="G6" i="6"/>
  <c r="B6" i="8" s="1"/>
  <c r="A6" i="8"/>
  <c r="C6" i="8" s="1"/>
  <c r="B253" i="7"/>
  <c r="C254" i="7"/>
  <c r="D9" i="6"/>
  <c r="E8" i="6"/>
  <c r="F8" i="6" s="1"/>
  <c r="D6" i="8" l="1"/>
  <c r="D5" i="8"/>
  <c r="D7" i="8"/>
  <c r="D2" i="8"/>
  <c r="D3" i="8"/>
  <c r="G8" i="6"/>
  <c r="B8" i="8" s="1"/>
  <c r="A8" i="8"/>
  <c r="C8" i="8" s="1"/>
  <c r="C253" i="7"/>
  <c r="B252" i="7"/>
  <c r="D10" i="6"/>
  <c r="E9" i="6"/>
  <c r="F9" i="6" s="1"/>
  <c r="G9" i="6" l="1"/>
  <c r="B9" i="8" s="1"/>
  <c r="A9" i="8"/>
  <c r="C9" i="8" s="1"/>
  <c r="D8" i="8"/>
  <c r="B251" i="7"/>
  <c r="C252" i="7"/>
  <c r="E10" i="6"/>
  <c r="F10" i="6" s="1"/>
  <c r="D11" i="6"/>
  <c r="D9" i="8" l="1"/>
  <c r="G10" i="6"/>
  <c r="B10" i="8" s="1"/>
  <c r="A10" i="8"/>
  <c r="C10" i="8" s="1"/>
  <c r="D10" i="8" s="1"/>
  <c r="B250" i="7"/>
  <c r="C251" i="7"/>
  <c r="E11" i="6"/>
  <c r="F11" i="6" s="1"/>
  <c r="D12" i="6"/>
  <c r="G11" i="6" l="1"/>
  <c r="B11" i="8" s="1"/>
  <c r="A11" i="8"/>
  <c r="C11" i="8" s="1"/>
  <c r="B249" i="7"/>
  <c r="C250" i="7"/>
  <c r="E12" i="6"/>
  <c r="F12" i="6" s="1"/>
  <c r="D13" i="6"/>
  <c r="D11" i="8" l="1"/>
  <c r="G12" i="6"/>
  <c r="B12" i="8" s="1"/>
  <c r="A12" i="8"/>
  <c r="C12" i="8" s="1"/>
  <c r="C249" i="7"/>
  <c r="B248" i="7"/>
  <c r="D14" i="6"/>
  <c r="E13" i="6"/>
  <c r="F13" i="6" s="1"/>
  <c r="D12" i="8" l="1"/>
  <c r="G13" i="6"/>
  <c r="B13" i="8" s="1"/>
  <c r="A13" i="8"/>
  <c r="C13" i="8" s="1"/>
  <c r="C248" i="7"/>
  <c r="B247" i="7"/>
  <c r="D15" i="6"/>
  <c r="E14" i="6"/>
  <c r="F14" i="6" s="1"/>
  <c r="D13" i="8" l="1"/>
  <c r="G14" i="6"/>
  <c r="B14" i="8" s="1"/>
  <c r="A14" i="8"/>
  <c r="C14" i="8" s="1"/>
  <c r="C247" i="7"/>
  <c r="B246" i="7"/>
  <c r="D16" i="6"/>
  <c r="E15" i="6"/>
  <c r="F15" i="6" s="1"/>
  <c r="D14" i="8" l="1"/>
  <c r="G15" i="6"/>
  <c r="B15" i="8" s="1"/>
  <c r="A15" i="8"/>
  <c r="C15" i="8" s="1"/>
  <c r="B245" i="7"/>
  <c r="C246" i="7"/>
  <c r="E16" i="6"/>
  <c r="F16" i="6" s="1"/>
  <c r="D17" i="6"/>
  <c r="D15" i="8" l="1"/>
  <c r="G16" i="6"/>
  <c r="B16" i="8" s="1"/>
  <c r="A16" i="8"/>
  <c r="C16" i="8" s="1"/>
  <c r="C245" i="7"/>
  <c r="B244" i="7"/>
  <c r="E17" i="6"/>
  <c r="F17" i="6" s="1"/>
  <c r="D18" i="6"/>
  <c r="D16" i="8" l="1"/>
  <c r="G17" i="6"/>
  <c r="B17" i="8" s="1"/>
  <c r="A17" i="8"/>
  <c r="C17" i="8" s="1"/>
  <c r="C244" i="7"/>
  <c r="B243" i="7"/>
  <c r="E18" i="6"/>
  <c r="F18" i="6" s="1"/>
  <c r="D19" i="6"/>
  <c r="D17" i="8" l="1"/>
  <c r="G18" i="6"/>
  <c r="B18" i="8" s="1"/>
  <c r="A18" i="8"/>
  <c r="C18" i="8" s="1"/>
  <c r="B242" i="7"/>
  <c r="C243" i="7"/>
  <c r="E19" i="6"/>
  <c r="F19" i="6" s="1"/>
  <c r="D20" i="6"/>
  <c r="D18" i="8" l="1"/>
  <c r="G19" i="6"/>
  <c r="B19" i="8" s="1"/>
  <c r="A19" i="8"/>
  <c r="C19" i="8" s="1"/>
  <c r="D19" i="8" s="1"/>
  <c r="B241" i="7"/>
  <c r="C242" i="7"/>
  <c r="E20" i="6"/>
  <c r="F20" i="6" s="1"/>
  <c r="D21" i="6"/>
  <c r="G20" i="6" l="1"/>
  <c r="B20" i="8" s="1"/>
  <c r="A20" i="8"/>
  <c r="C20" i="8" s="1"/>
  <c r="C241" i="7"/>
  <c r="B240" i="7"/>
  <c r="D22" i="6"/>
  <c r="E21" i="6"/>
  <c r="F21" i="6" s="1"/>
  <c r="D20" i="8" l="1"/>
  <c r="G21" i="6"/>
  <c r="B21" i="8" s="1"/>
  <c r="A21" i="8"/>
  <c r="C21" i="8" s="1"/>
  <c r="C240" i="7"/>
  <c r="B239" i="7"/>
  <c r="E22" i="6"/>
  <c r="F22" i="6" s="1"/>
  <c r="D23" i="6"/>
  <c r="D21" i="8" l="1"/>
  <c r="G22" i="6"/>
  <c r="B22" i="8" s="1"/>
  <c r="A22" i="8"/>
  <c r="C22" i="8" s="1"/>
  <c r="B238" i="7"/>
  <c r="C239" i="7"/>
  <c r="E23" i="6"/>
  <c r="F23" i="6" s="1"/>
  <c r="D24" i="6"/>
  <c r="D22" i="8" l="1"/>
  <c r="G23" i="6"/>
  <c r="B23" i="8" s="1"/>
  <c r="A23" i="8"/>
  <c r="C23" i="8" s="1"/>
  <c r="B237" i="7"/>
  <c r="C238" i="7"/>
  <c r="E24" i="6"/>
  <c r="F24" i="6" s="1"/>
  <c r="D25" i="6"/>
  <c r="D23" i="8" l="1"/>
  <c r="G24" i="6"/>
  <c r="B24" i="8" s="1"/>
  <c r="A24" i="8"/>
  <c r="C24" i="8" s="1"/>
  <c r="C237" i="7"/>
  <c r="B236" i="7"/>
  <c r="E25" i="6"/>
  <c r="F25" i="6" s="1"/>
  <c r="D26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" i="4"/>
  <c r="D24" i="8" l="1"/>
  <c r="G25" i="6"/>
  <c r="B25" i="8" s="1"/>
  <c r="A25" i="8"/>
  <c r="C25" i="8" s="1"/>
  <c r="B235" i="7"/>
  <c r="C236" i="7"/>
  <c r="D27" i="6"/>
  <c r="E26" i="6"/>
  <c r="F26" i="6" s="1"/>
  <c r="G103" i="4"/>
  <c r="G104" i="4"/>
  <c r="G12" i="4"/>
  <c r="G36" i="4"/>
  <c r="G60" i="4"/>
  <c r="G84" i="4"/>
  <c r="G108" i="4"/>
  <c r="G132" i="4"/>
  <c r="G156" i="4"/>
  <c r="G180" i="4"/>
  <c r="G204" i="4"/>
  <c r="G228" i="4"/>
  <c r="G252" i="4"/>
  <c r="G110" i="4"/>
  <c r="G39" i="4"/>
  <c r="G135" i="4"/>
  <c r="G231" i="4"/>
  <c r="G43" i="4"/>
  <c r="G163" i="4"/>
  <c r="G44" i="4"/>
  <c r="G188" i="4"/>
  <c r="G13" i="4"/>
  <c r="G37" i="4"/>
  <c r="G61" i="4"/>
  <c r="G85" i="4"/>
  <c r="G109" i="4"/>
  <c r="G133" i="4"/>
  <c r="G157" i="4"/>
  <c r="G181" i="4"/>
  <c r="G205" i="4"/>
  <c r="G229" i="4"/>
  <c r="G182" i="4"/>
  <c r="G230" i="4"/>
  <c r="G15" i="4"/>
  <c r="G87" i="4"/>
  <c r="G159" i="4"/>
  <c r="G207" i="4"/>
  <c r="G19" i="4"/>
  <c r="G211" i="4"/>
  <c r="G20" i="4"/>
  <c r="G116" i="4"/>
  <c r="G164" i="4"/>
  <c r="G14" i="4"/>
  <c r="G38" i="4"/>
  <c r="G62" i="4"/>
  <c r="G86" i="4"/>
  <c r="G134" i="4"/>
  <c r="G158" i="4"/>
  <c r="G206" i="4"/>
  <c r="G2" i="4"/>
  <c r="G63" i="4"/>
  <c r="G183" i="4"/>
  <c r="G139" i="4"/>
  <c r="G140" i="4"/>
  <c r="G111" i="4"/>
  <c r="G91" i="4"/>
  <c r="G16" i="4"/>
  <c r="G40" i="4"/>
  <c r="G64" i="4"/>
  <c r="G88" i="4"/>
  <c r="G112" i="4"/>
  <c r="G136" i="4"/>
  <c r="G160" i="4"/>
  <c r="G184" i="4"/>
  <c r="G208" i="4"/>
  <c r="G232" i="4"/>
  <c r="G42" i="4"/>
  <c r="G90" i="4"/>
  <c r="G138" i="4"/>
  <c r="G162" i="4"/>
  <c r="G186" i="4"/>
  <c r="G234" i="4"/>
  <c r="G67" i="4"/>
  <c r="G187" i="4"/>
  <c r="G92" i="4"/>
  <c r="G236" i="4"/>
  <c r="G17" i="4"/>
  <c r="G41" i="4"/>
  <c r="G65" i="4"/>
  <c r="G89" i="4"/>
  <c r="G113" i="4"/>
  <c r="G137" i="4"/>
  <c r="G161" i="4"/>
  <c r="G185" i="4"/>
  <c r="G209" i="4"/>
  <c r="G233" i="4"/>
  <c r="G18" i="4"/>
  <c r="G66" i="4"/>
  <c r="G114" i="4"/>
  <c r="G210" i="4"/>
  <c r="G115" i="4"/>
  <c r="G235" i="4"/>
  <c r="G68" i="4"/>
  <c r="G212" i="4"/>
  <c r="G24" i="4"/>
  <c r="G48" i="4"/>
  <c r="G72" i="4"/>
  <c r="G96" i="4"/>
  <c r="G120" i="4"/>
  <c r="G144" i="4"/>
  <c r="G168" i="4"/>
  <c r="G192" i="4"/>
  <c r="G216" i="4"/>
  <c r="G240" i="4"/>
  <c r="G25" i="4"/>
  <c r="G49" i="4"/>
  <c r="G73" i="4"/>
  <c r="G97" i="4"/>
  <c r="G121" i="4"/>
  <c r="G145" i="4"/>
  <c r="G169" i="4"/>
  <c r="G193" i="4"/>
  <c r="G217" i="4"/>
  <c r="G241" i="4"/>
  <c r="G26" i="4"/>
  <c r="G50" i="4"/>
  <c r="G74" i="4"/>
  <c r="G98" i="4"/>
  <c r="G122" i="4"/>
  <c r="G146" i="4"/>
  <c r="G170" i="4"/>
  <c r="G194" i="4"/>
  <c r="G218" i="4"/>
  <c r="G242" i="4"/>
  <c r="G27" i="4"/>
  <c r="G75" i="4"/>
  <c r="G123" i="4"/>
  <c r="G171" i="4"/>
  <c r="G219" i="4"/>
  <c r="G93" i="4"/>
  <c r="G46" i="4"/>
  <c r="G4" i="4"/>
  <c r="G101" i="4"/>
  <c r="G54" i="4"/>
  <c r="G55" i="4"/>
  <c r="G152" i="4"/>
  <c r="G250" i="4"/>
  <c r="G59" i="4"/>
  <c r="G118" i="4"/>
  <c r="G28" i="4"/>
  <c r="G76" i="4"/>
  <c r="G124" i="4"/>
  <c r="G172" i="4"/>
  <c r="G220" i="4"/>
  <c r="G237" i="4"/>
  <c r="G7" i="4"/>
  <c r="G56" i="4"/>
  <c r="G106" i="4"/>
  <c r="G29" i="4"/>
  <c r="G77" i="4"/>
  <c r="G125" i="4"/>
  <c r="G173" i="4"/>
  <c r="G221" i="4"/>
  <c r="G82" i="4"/>
  <c r="G143" i="4"/>
  <c r="G53" i="4"/>
  <c r="G6" i="4"/>
  <c r="G9" i="4"/>
  <c r="G203" i="4"/>
  <c r="G30" i="4"/>
  <c r="G78" i="4"/>
  <c r="G126" i="4"/>
  <c r="G174" i="4"/>
  <c r="G222" i="4"/>
  <c r="G81" i="4"/>
  <c r="G226" i="4"/>
  <c r="G94" i="4"/>
  <c r="G238" i="4"/>
  <c r="G47" i="4"/>
  <c r="G191" i="4"/>
  <c r="G148" i="4"/>
  <c r="G245" i="4"/>
  <c r="G198" i="4"/>
  <c r="G200" i="4"/>
  <c r="G10" i="4"/>
  <c r="G251" i="4"/>
  <c r="G70" i="4"/>
  <c r="G31" i="4"/>
  <c r="G79" i="4"/>
  <c r="G127" i="4"/>
  <c r="G175" i="4"/>
  <c r="G223" i="4"/>
  <c r="G178" i="4"/>
  <c r="G141" i="4"/>
  <c r="G244" i="4"/>
  <c r="G197" i="4"/>
  <c r="G150" i="4"/>
  <c r="G151" i="4"/>
  <c r="G8" i="4"/>
  <c r="G249" i="4"/>
  <c r="G202" i="4"/>
  <c r="G11" i="4"/>
  <c r="G21" i="4"/>
  <c r="G71" i="4"/>
  <c r="G32" i="4"/>
  <c r="G80" i="4"/>
  <c r="G128" i="4"/>
  <c r="G176" i="4"/>
  <c r="G224" i="4"/>
  <c r="G33" i="4"/>
  <c r="G129" i="4"/>
  <c r="G177" i="4"/>
  <c r="G225" i="4"/>
  <c r="G34" i="4"/>
  <c r="G189" i="4"/>
  <c r="G95" i="4"/>
  <c r="G5" i="4"/>
  <c r="G102" i="4"/>
  <c r="G246" i="4"/>
  <c r="G105" i="4"/>
  <c r="G201" i="4"/>
  <c r="G22" i="4"/>
  <c r="G23" i="4"/>
  <c r="G215" i="4"/>
  <c r="G69" i="4"/>
  <c r="G130" i="4"/>
  <c r="G190" i="4"/>
  <c r="G196" i="4"/>
  <c r="G213" i="4"/>
  <c r="G35" i="4"/>
  <c r="G83" i="4"/>
  <c r="G131" i="4"/>
  <c r="G179" i="4"/>
  <c r="G227" i="4"/>
  <c r="G247" i="4"/>
  <c r="G153" i="4"/>
  <c r="G58" i="4"/>
  <c r="G107" i="4"/>
  <c r="G165" i="4"/>
  <c r="G166" i="4"/>
  <c r="G45" i="4"/>
  <c r="G142" i="4"/>
  <c r="G239" i="4"/>
  <c r="G100" i="4"/>
  <c r="G167" i="4"/>
  <c r="G3" i="4"/>
  <c r="G51" i="4"/>
  <c r="G99" i="4"/>
  <c r="G147" i="4"/>
  <c r="G195" i="4"/>
  <c r="G243" i="4"/>
  <c r="G52" i="4"/>
  <c r="G149" i="4"/>
  <c r="G199" i="4"/>
  <c r="G248" i="4"/>
  <c r="G57" i="4"/>
  <c r="G154" i="4"/>
  <c r="G155" i="4"/>
  <c r="G117" i="4"/>
  <c r="G214" i="4"/>
  <c r="G119" i="4"/>
  <c r="C33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50" i="1" s="1"/>
  <c r="C11" i="1"/>
  <c r="C8" i="1" s="1"/>
  <c r="C51" i="1"/>
  <c r="C52" i="1"/>
  <c r="C48" i="1"/>
  <c r="D25" i="8" l="1"/>
  <c r="G26" i="6"/>
  <c r="B26" i="8" s="1"/>
  <c r="A26" i="8"/>
  <c r="C26" i="8" s="1"/>
  <c r="B234" i="7"/>
  <c r="C235" i="7"/>
  <c r="D28" i="6"/>
  <c r="E27" i="6"/>
  <c r="F27" i="6" s="1"/>
  <c r="F170" i="4"/>
  <c r="F61" i="4"/>
  <c r="F51" i="4"/>
  <c r="F122" i="4"/>
  <c r="F162" i="4"/>
  <c r="F100" i="4"/>
  <c r="F50" i="4"/>
  <c r="F150" i="4"/>
  <c r="F14" i="4"/>
  <c r="F103" i="4"/>
  <c r="F241" i="4"/>
  <c r="F43" i="4"/>
  <c r="F78" i="4"/>
  <c r="F250" i="4"/>
  <c r="F231" i="4"/>
  <c r="F166" i="4"/>
  <c r="F102" i="4"/>
  <c r="F141" i="4"/>
  <c r="F30" i="4"/>
  <c r="F152" i="4"/>
  <c r="F193" i="4"/>
  <c r="F66" i="4"/>
  <c r="F184" i="4"/>
  <c r="F20" i="4"/>
  <c r="F135" i="4"/>
  <c r="F165" i="4"/>
  <c r="F5" i="4"/>
  <c r="F178" i="4"/>
  <c r="F203" i="4"/>
  <c r="F55" i="4"/>
  <c r="F169" i="4"/>
  <c r="F18" i="4"/>
  <c r="F160" i="4"/>
  <c r="F211" i="4"/>
  <c r="F39" i="4"/>
  <c r="F217" i="4"/>
  <c r="F107" i="4"/>
  <c r="F95" i="4"/>
  <c r="F223" i="4"/>
  <c r="F9" i="4"/>
  <c r="F54" i="4"/>
  <c r="F145" i="4"/>
  <c r="F233" i="4"/>
  <c r="F136" i="4"/>
  <c r="F19" i="4"/>
  <c r="F110" i="4"/>
  <c r="F47" i="4"/>
  <c r="F234" i="4"/>
  <c r="F215" i="4"/>
  <c r="F172" i="4"/>
  <c r="F98" i="4"/>
  <c r="F81" i="4"/>
  <c r="F68" i="4"/>
  <c r="F235" i="4"/>
  <c r="F26" i="4"/>
  <c r="F142" i="4"/>
  <c r="F59" i="4"/>
  <c r="F164" i="4"/>
  <c r="F244" i="4"/>
  <c r="F114" i="4"/>
  <c r="F58" i="4"/>
  <c r="F112" i="4"/>
  <c r="F214" i="4"/>
  <c r="F153" i="4"/>
  <c r="F127" i="4"/>
  <c r="F4" i="4"/>
  <c r="F97" i="4"/>
  <c r="F185" i="4"/>
  <c r="F88" i="4"/>
  <c r="F159" i="4"/>
  <c r="F228" i="4"/>
  <c r="F237" i="4"/>
  <c r="F238" i="4"/>
  <c r="F37" i="4"/>
  <c r="F3" i="4"/>
  <c r="F124" i="4"/>
  <c r="F167" i="4"/>
  <c r="F188" i="4"/>
  <c r="F151" i="4"/>
  <c r="F105" i="4"/>
  <c r="F163" i="4"/>
  <c r="F197" i="4"/>
  <c r="F210" i="4"/>
  <c r="F45" i="4"/>
  <c r="F116" i="4"/>
  <c r="F189" i="4"/>
  <c r="F6" i="4"/>
  <c r="F121" i="4"/>
  <c r="F252" i="4"/>
  <c r="F34" i="4"/>
  <c r="F117" i="4"/>
  <c r="F104" i="4"/>
  <c r="F225" i="4"/>
  <c r="F79" i="4"/>
  <c r="F143" i="4"/>
  <c r="F46" i="4"/>
  <c r="F73" i="4"/>
  <c r="F161" i="4"/>
  <c r="F64" i="4"/>
  <c r="F87" i="4"/>
  <c r="F204" i="4"/>
  <c r="F85" i="4"/>
  <c r="F220" i="4"/>
  <c r="F134" i="4"/>
  <c r="F226" i="4"/>
  <c r="F76" i="4"/>
  <c r="F62" i="4"/>
  <c r="F201" i="4"/>
  <c r="F28" i="4"/>
  <c r="F115" i="4"/>
  <c r="F126" i="4"/>
  <c r="F232" i="4"/>
  <c r="F246" i="4"/>
  <c r="F208" i="4"/>
  <c r="F119" i="4"/>
  <c r="F175" i="4"/>
  <c r="F101" i="4"/>
  <c r="F209" i="4"/>
  <c r="F207" i="4"/>
  <c r="F53" i="4"/>
  <c r="F155" i="4"/>
  <c r="F247" i="4"/>
  <c r="F177" i="4"/>
  <c r="F31" i="4"/>
  <c r="F82" i="4"/>
  <c r="F93" i="4"/>
  <c r="F49" i="4"/>
  <c r="F137" i="4"/>
  <c r="F40" i="4"/>
  <c r="F15" i="4"/>
  <c r="F180" i="4"/>
  <c r="F156" i="4"/>
  <c r="F21" i="4"/>
  <c r="F99" i="4"/>
  <c r="F202" i="4"/>
  <c r="F13" i="4"/>
  <c r="F38" i="4"/>
  <c r="F70" i="4"/>
  <c r="F173" i="4"/>
  <c r="F248" i="4"/>
  <c r="F131" i="4"/>
  <c r="F224" i="4"/>
  <c r="F10" i="4"/>
  <c r="F125" i="4"/>
  <c r="F123" i="4"/>
  <c r="F216" i="4"/>
  <c r="F65" i="4"/>
  <c r="F111" i="4"/>
  <c r="F229" i="4"/>
  <c r="F108" i="4"/>
  <c r="F205" i="4"/>
  <c r="F84" i="4"/>
  <c r="F147" i="4"/>
  <c r="F67" i="4"/>
  <c r="F69" i="4"/>
  <c r="F146" i="4"/>
  <c r="F24" i="4"/>
  <c r="F23" i="4"/>
  <c r="F249" i="4"/>
  <c r="F8" i="4"/>
  <c r="F138" i="4"/>
  <c r="F222" i="4"/>
  <c r="F118" i="4"/>
  <c r="F154" i="4"/>
  <c r="F251" i="4"/>
  <c r="F89" i="4"/>
  <c r="F182" i="4"/>
  <c r="F176" i="4"/>
  <c r="F192" i="4"/>
  <c r="F149" i="4"/>
  <c r="F198" i="4"/>
  <c r="F168" i="4"/>
  <c r="F181" i="4"/>
  <c r="F52" i="4"/>
  <c r="F213" i="4"/>
  <c r="F80" i="4"/>
  <c r="F245" i="4"/>
  <c r="F106" i="4"/>
  <c r="F242" i="4"/>
  <c r="F144" i="4"/>
  <c r="F236" i="4"/>
  <c r="F183" i="4"/>
  <c r="F157" i="4"/>
  <c r="F36" i="4"/>
  <c r="F130" i="4"/>
  <c r="F72" i="4"/>
  <c r="F158" i="4"/>
  <c r="F186" i="4"/>
  <c r="F86" i="4"/>
  <c r="F44" i="4"/>
  <c r="F239" i="4"/>
  <c r="F42" i="4"/>
  <c r="F227" i="4"/>
  <c r="F221" i="4"/>
  <c r="F25" i="4"/>
  <c r="F230" i="4"/>
  <c r="F57" i="4"/>
  <c r="F33" i="4"/>
  <c r="F240" i="4"/>
  <c r="F91" i="4"/>
  <c r="F199" i="4"/>
  <c r="F200" i="4"/>
  <c r="F75" i="4"/>
  <c r="F140" i="4"/>
  <c r="F128" i="4"/>
  <c r="F27" i="4"/>
  <c r="F60" i="4"/>
  <c r="F243" i="4"/>
  <c r="F196" i="4"/>
  <c r="F32" i="4"/>
  <c r="F148" i="4"/>
  <c r="F56" i="4"/>
  <c r="F218" i="4"/>
  <c r="F120" i="4"/>
  <c r="F92" i="4"/>
  <c r="F63" i="4"/>
  <c r="F133" i="4"/>
  <c r="F12" i="4"/>
  <c r="F206" i="4"/>
  <c r="F11" i="4"/>
  <c r="F48" i="4"/>
  <c r="F94" i="4"/>
  <c r="F212" i="4"/>
  <c r="F22" i="4"/>
  <c r="F74" i="4"/>
  <c r="F90" i="4"/>
  <c r="F174" i="4"/>
  <c r="F129" i="4"/>
  <c r="F219" i="4"/>
  <c r="F113" i="4"/>
  <c r="F16" i="4"/>
  <c r="F179" i="4"/>
  <c r="F171" i="4"/>
  <c r="F132" i="4"/>
  <c r="F83" i="4"/>
  <c r="F77" i="4"/>
  <c r="F41" i="4"/>
  <c r="F35" i="4"/>
  <c r="F29" i="4"/>
  <c r="F17" i="4"/>
  <c r="F139" i="4"/>
  <c r="F195" i="4"/>
  <c r="F190" i="4"/>
  <c r="F71" i="4"/>
  <c r="F191" i="4"/>
  <c r="F7" i="4"/>
  <c r="F194" i="4"/>
  <c r="F96" i="4"/>
  <c r="F187" i="4"/>
  <c r="F2" i="4"/>
  <c r="F109" i="4"/>
  <c r="C49" i="1"/>
  <c r="C7" i="1"/>
  <c r="C5" i="1"/>
  <c r="C6" i="1"/>
  <c r="C4" i="1"/>
  <c r="C2" i="1"/>
  <c r="C3" i="1"/>
  <c r="C10" i="1"/>
  <c r="C9" i="1"/>
  <c r="D26" i="8" l="1"/>
  <c r="G27" i="6"/>
  <c r="B27" i="8" s="1"/>
  <c r="A27" i="8"/>
  <c r="C27" i="8" s="1"/>
  <c r="B233" i="7"/>
  <c r="C234" i="7"/>
  <c r="E28" i="6"/>
  <c r="F28" i="6" s="1"/>
  <c r="D29" i="6"/>
  <c r="D27" i="8" l="1"/>
  <c r="G28" i="6"/>
  <c r="B28" i="8" s="1"/>
  <c r="A28" i="8"/>
  <c r="C28" i="8" s="1"/>
  <c r="C233" i="7"/>
  <c r="B232" i="7"/>
  <c r="E29" i="6"/>
  <c r="F29" i="6" s="1"/>
  <c r="D30" i="6"/>
  <c r="D28" i="8" l="1"/>
  <c r="G29" i="6"/>
  <c r="B29" i="8" s="1"/>
  <c r="A29" i="8"/>
  <c r="C29" i="8" s="1"/>
  <c r="C232" i="7"/>
  <c r="B231" i="7"/>
  <c r="E30" i="6"/>
  <c r="F30" i="6" s="1"/>
  <c r="D31" i="6"/>
  <c r="D29" i="8" l="1"/>
  <c r="G30" i="6"/>
  <c r="B30" i="8" s="1"/>
  <c r="A30" i="8"/>
  <c r="C30" i="8" s="1"/>
  <c r="B230" i="7"/>
  <c r="C231" i="7"/>
  <c r="E31" i="6"/>
  <c r="F31" i="6" s="1"/>
  <c r="D32" i="6"/>
  <c r="D30" i="8" l="1"/>
  <c r="G31" i="6"/>
  <c r="B31" i="8" s="1"/>
  <c r="A31" i="8"/>
  <c r="C31" i="8" s="1"/>
  <c r="B229" i="7"/>
  <c r="C230" i="7"/>
  <c r="E32" i="6"/>
  <c r="F32" i="6" s="1"/>
  <c r="D33" i="6"/>
  <c r="D31" i="8" l="1"/>
  <c r="G32" i="6"/>
  <c r="B32" i="8" s="1"/>
  <c r="A32" i="8"/>
  <c r="C32" i="8" s="1"/>
  <c r="C229" i="7"/>
  <c r="B228" i="7"/>
  <c r="D34" i="6"/>
  <c r="E33" i="6"/>
  <c r="F33" i="6" s="1"/>
  <c r="D32" i="8" l="1"/>
  <c r="G33" i="6"/>
  <c r="B33" i="8" s="1"/>
  <c r="A33" i="8"/>
  <c r="C33" i="8" s="1"/>
  <c r="C228" i="7"/>
  <c r="B227" i="7"/>
  <c r="E34" i="6"/>
  <c r="F34" i="6" s="1"/>
  <c r="D35" i="6"/>
  <c r="D33" i="8" l="1"/>
  <c r="G34" i="6"/>
  <c r="B34" i="8" s="1"/>
  <c r="A34" i="8"/>
  <c r="C34" i="8" s="1"/>
  <c r="B226" i="7"/>
  <c r="C227" i="7"/>
  <c r="E35" i="6"/>
  <c r="F35" i="6" s="1"/>
  <c r="D36" i="6"/>
  <c r="D34" i="8" l="1"/>
  <c r="G35" i="6"/>
  <c r="B35" i="8" s="1"/>
  <c r="A35" i="8"/>
  <c r="C35" i="8" s="1"/>
  <c r="B225" i="7"/>
  <c r="C226" i="7"/>
  <c r="E36" i="6"/>
  <c r="F36" i="6" s="1"/>
  <c r="D37" i="6"/>
  <c r="D35" i="8" l="1"/>
  <c r="G36" i="6"/>
  <c r="B36" i="8" s="1"/>
  <c r="A36" i="8"/>
  <c r="C36" i="8" s="1"/>
  <c r="C225" i="7"/>
  <c r="B224" i="7"/>
  <c r="D38" i="6"/>
  <c r="E37" i="6"/>
  <c r="F37" i="6" s="1"/>
  <c r="D36" i="8" l="1"/>
  <c r="G37" i="6"/>
  <c r="B37" i="8" s="1"/>
  <c r="A37" i="8"/>
  <c r="C37" i="8" s="1"/>
  <c r="C224" i="7"/>
  <c r="B223" i="7"/>
  <c r="E38" i="6"/>
  <c r="F38" i="6" s="1"/>
  <c r="D39" i="6"/>
  <c r="D37" i="8" l="1"/>
  <c r="G38" i="6"/>
  <c r="B38" i="8" s="1"/>
  <c r="A38" i="8"/>
  <c r="C38" i="8" s="1"/>
  <c r="C223" i="7"/>
  <c r="B222" i="7"/>
  <c r="D40" i="6"/>
  <c r="E39" i="6"/>
  <c r="F39" i="6" s="1"/>
  <c r="G39" i="6" l="1"/>
  <c r="B39" i="8" s="1"/>
  <c r="A39" i="8"/>
  <c r="C39" i="8" s="1"/>
  <c r="D39" i="8" s="1"/>
  <c r="D38" i="8"/>
  <c r="B221" i="7"/>
  <c r="C222" i="7"/>
  <c r="E40" i="6"/>
  <c r="F40" i="6" s="1"/>
  <c r="D41" i="6"/>
  <c r="G40" i="6" l="1"/>
  <c r="B40" i="8" s="1"/>
  <c r="A40" i="8"/>
  <c r="C40" i="8" s="1"/>
  <c r="D40" i="8" s="1"/>
  <c r="C221" i="7"/>
  <c r="B220" i="7"/>
  <c r="E41" i="6"/>
  <c r="F41" i="6" s="1"/>
  <c r="D42" i="6"/>
  <c r="G41" i="6" l="1"/>
  <c r="B41" i="8" s="1"/>
  <c r="A41" i="8"/>
  <c r="C41" i="8" s="1"/>
  <c r="D41" i="8" s="1"/>
  <c r="B219" i="7"/>
  <c r="C220" i="7"/>
  <c r="E42" i="6"/>
  <c r="F42" i="6" s="1"/>
  <c r="D43" i="6"/>
  <c r="G42" i="6" l="1"/>
  <c r="B42" i="8" s="1"/>
  <c r="A42" i="8"/>
  <c r="C42" i="8" s="1"/>
  <c r="D42" i="8" s="1"/>
  <c r="B218" i="7"/>
  <c r="C219" i="7"/>
  <c r="D44" i="6"/>
  <c r="E43" i="6"/>
  <c r="F43" i="6" s="1"/>
  <c r="G43" i="6" l="1"/>
  <c r="B43" i="8" s="1"/>
  <c r="A43" i="8"/>
  <c r="C43" i="8" s="1"/>
  <c r="D43" i="8" s="1"/>
  <c r="B217" i="7"/>
  <c r="C218" i="7"/>
  <c r="D45" i="6"/>
  <c r="E44" i="6"/>
  <c r="F44" i="6" s="1"/>
  <c r="G44" i="6" l="1"/>
  <c r="B44" i="8" s="1"/>
  <c r="A44" i="8"/>
  <c r="C44" i="8" s="1"/>
  <c r="D44" i="8" s="1"/>
  <c r="C217" i="7"/>
  <c r="B216" i="7"/>
  <c r="D46" i="6"/>
  <c r="E45" i="6"/>
  <c r="F45" i="6" s="1"/>
  <c r="G45" i="6" l="1"/>
  <c r="B45" i="8" s="1"/>
  <c r="A45" i="8"/>
  <c r="C45" i="8" s="1"/>
  <c r="D45" i="8" s="1"/>
  <c r="C216" i="7"/>
  <c r="B215" i="7"/>
  <c r="E46" i="6"/>
  <c r="F46" i="6" s="1"/>
  <c r="D47" i="6"/>
  <c r="G46" i="6" l="1"/>
  <c r="B46" i="8" s="1"/>
  <c r="A46" i="8"/>
  <c r="C46" i="8" s="1"/>
  <c r="D46" i="8" s="1"/>
  <c r="C215" i="7"/>
  <c r="B214" i="7"/>
  <c r="E47" i="6"/>
  <c r="F47" i="6" s="1"/>
  <c r="D48" i="6"/>
  <c r="G47" i="6" l="1"/>
  <c r="B47" i="8" s="1"/>
  <c r="A47" i="8"/>
  <c r="C47" i="8" s="1"/>
  <c r="D47" i="8" s="1"/>
  <c r="B213" i="7"/>
  <c r="C214" i="7"/>
  <c r="E48" i="6"/>
  <c r="F48" i="6" s="1"/>
  <c r="D49" i="6"/>
  <c r="G48" i="6" l="1"/>
  <c r="B48" i="8" s="1"/>
  <c r="A48" i="8"/>
  <c r="C48" i="8" s="1"/>
  <c r="C213" i="7"/>
  <c r="B212" i="7"/>
  <c r="D50" i="6"/>
  <c r="E49" i="6"/>
  <c r="F49" i="6" s="1"/>
  <c r="D48" i="8" l="1"/>
  <c r="G49" i="6"/>
  <c r="B49" i="8" s="1"/>
  <c r="A49" i="8"/>
  <c r="C49" i="8" s="1"/>
  <c r="C212" i="7"/>
  <c r="B211" i="7"/>
  <c r="E50" i="6"/>
  <c r="F50" i="6" s="1"/>
  <c r="D51" i="6"/>
  <c r="D49" i="8" l="1"/>
  <c r="G50" i="6"/>
  <c r="B50" i="8" s="1"/>
  <c r="A50" i="8"/>
  <c r="C50" i="8" s="1"/>
  <c r="B210" i="7"/>
  <c r="C211" i="7"/>
  <c r="D52" i="6"/>
  <c r="E51" i="6"/>
  <c r="F51" i="6" s="1"/>
  <c r="D50" i="8" l="1"/>
  <c r="G51" i="6"/>
  <c r="B51" i="8" s="1"/>
  <c r="A51" i="8"/>
  <c r="C51" i="8" s="1"/>
  <c r="B209" i="7"/>
  <c r="C210" i="7"/>
  <c r="E52" i="6"/>
  <c r="F52" i="6" s="1"/>
  <c r="D53" i="6"/>
  <c r="D51" i="8" l="1"/>
  <c r="G52" i="6"/>
  <c r="B52" i="8" s="1"/>
  <c r="A52" i="8"/>
  <c r="C52" i="8" s="1"/>
  <c r="C209" i="7"/>
  <c r="B208" i="7"/>
  <c r="D54" i="6"/>
  <c r="E53" i="6"/>
  <c r="F53" i="6" s="1"/>
  <c r="D52" i="8" l="1"/>
  <c r="G53" i="6"/>
  <c r="B53" i="8" s="1"/>
  <c r="A53" i="8"/>
  <c r="C53" i="8" s="1"/>
  <c r="D53" i="8" s="1"/>
  <c r="C208" i="7"/>
  <c r="B207" i="7"/>
  <c r="E54" i="6"/>
  <c r="F54" i="6" s="1"/>
  <c r="D55" i="6"/>
  <c r="G54" i="6" l="1"/>
  <c r="B54" i="8" s="1"/>
  <c r="A54" i="8"/>
  <c r="C54" i="8" s="1"/>
  <c r="B206" i="7"/>
  <c r="C207" i="7"/>
  <c r="E55" i="6"/>
  <c r="F55" i="6" s="1"/>
  <c r="D56" i="6"/>
  <c r="D54" i="8" l="1"/>
  <c r="G55" i="6"/>
  <c r="B55" i="8" s="1"/>
  <c r="A55" i="8"/>
  <c r="C55" i="8" s="1"/>
  <c r="B205" i="7"/>
  <c r="C206" i="7"/>
  <c r="D57" i="6"/>
  <c r="E56" i="6"/>
  <c r="F56" i="6" s="1"/>
  <c r="D55" i="8" l="1"/>
  <c r="G56" i="6"/>
  <c r="B56" i="8" s="1"/>
  <c r="A56" i="8"/>
  <c r="C56" i="8" s="1"/>
  <c r="D56" i="8" s="1"/>
  <c r="C205" i="7"/>
  <c r="B204" i="7"/>
  <c r="D58" i="6"/>
  <c r="E57" i="6"/>
  <c r="F57" i="6" s="1"/>
  <c r="G57" i="6" l="1"/>
  <c r="B57" i="8" s="1"/>
  <c r="A57" i="8"/>
  <c r="C57" i="8" s="1"/>
  <c r="C204" i="7"/>
  <c r="B203" i="7"/>
  <c r="E58" i="6"/>
  <c r="F58" i="6" s="1"/>
  <c r="D59" i="6"/>
  <c r="G58" i="6" l="1"/>
  <c r="B58" i="8" s="1"/>
  <c r="A58" i="8"/>
  <c r="C58" i="8" s="1"/>
  <c r="D57" i="8"/>
  <c r="B202" i="7"/>
  <c r="C203" i="7"/>
  <c r="E59" i="6"/>
  <c r="F59" i="6" s="1"/>
  <c r="D60" i="6"/>
  <c r="G59" i="6" l="1"/>
  <c r="B59" i="8" s="1"/>
  <c r="A59" i="8"/>
  <c r="C59" i="8" s="1"/>
  <c r="D58" i="8"/>
  <c r="B201" i="7"/>
  <c r="C202" i="7"/>
  <c r="E60" i="6"/>
  <c r="F60" i="6" s="1"/>
  <c r="D61" i="6"/>
  <c r="D59" i="8" l="1"/>
  <c r="G60" i="6"/>
  <c r="B60" i="8" s="1"/>
  <c r="A60" i="8"/>
  <c r="C60" i="8" s="1"/>
  <c r="D60" i="8" s="1"/>
  <c r="C201" i="7"/>
  <c r="B200" i="7"/>
  <c r="E61" i="6"/>
  <c r="F61" i="6" s="1"/>
  <c r="D62" i="6"/>
  <c r="G61" i="6" l="1"/>
  <c r="B61" i="8" s="1"/>
  <c r="A61" i="8"/>
  <c r="C61" i="8" s="1"/>
  <c r="D61" i="8" s="1"/>
  <c r="C200" i="7"/>
  <c r="B199" i="7"/>
  <c r="D63" i="6"/>
  <c r="E62" i="6"/>
  <c r="F62" i="6" s="1"/>
  <c r="G62" i="6" l="1"/>
  <c r="B62" i="8" s="1"/>
  <c r="A62" i="8"/>
  <c r="C62" i="8" s="1"/>
  <c r="D62" i="8" s="1"/>
  <c r="C199" i="7"/>
  <c r="B198" i="7"/>
  <c r="D64" i="6"/>
  <c r="E63" i="6"/>
  <c r="F63" i="6" s="1"/>
  <c r="G63" i="6" l="1"/>
  <c r="B63" i="8" s="1"/>
  <c r="A63" i="8"/>
  <c r="C63" i="8" s="1"/>
  <c r="B197" i="7"/>
  <c r="C198" i="7"/>
  <c r="E64" i="6"/>
  <c r="F64" i="6" s="1"/>
  <c r="D65" i="6"/>
  <c r="G64" i="6" l="1"/>
  <c r="B64" i="8" s="1"/>
  <c r="A64" i="8"/>
  <c r="C64" i="8" s="1"/>
  <c r="D64" i="8" s="1"/>
  <c r="D63" i="8"/>
  <c r="C197" i="7"/>
  <c r="B196" i="7"/>
  <c r="E65" i="6"/>
  <c r="F65" i="6" s="1"/>
  <c r="D66" i="6"/>
  <c r="G65" i="6" l="1"/>
  <c r="B65" i="8" s="1"/>
  <c r="A65" i="8"/>
  <c r="C65" i="8" s="1"/>
  <c r="B195" i="7"/>
  <c r="C196" i="7"/>
  <c r="E66" i="6"/>
  <c r="F66" i="6" s="1"/>
  <c r="D67" i="6"/>
  <c r="D65" i="8" l="1"/>
  <c r="G66" i="6"/>
  <c r="B66" i="8" s="1"/>
  <c r="A66" i="8"/>
  <c r="C66" i="8" s="1"/>
  <c r="B194" i="7"/>
  <c r="C195" i="7"/>
  <c r="D68" i="6"/>
  <c r="E67" i="6"/>
  <c r="F67" i="6" s="1"/>
  <c r="D66" i="8" l="1"/>
  <c r="G67" i="6"/>
  <c r="B67" i="8" s="1"/>
  <c r="A67" i="8"/>
  <c r="C67" i="8" s="1"/>
  <c r="D67" i="8" s="1"/>
  <c r="B193" i="7"/>
  <c r="C194" i="7"/>
  <c r="D69" i="6"/>
  <c r="E68" i="6"/>
  <c r="F68" i="6" s="1"/>
  <c r="G68" i="6" l="1"/>
  <c r="B68" i="8" s="1"/>
  <c r="A68" i="8"/>
  <c r="C68" i="8" s="1"/>
  <c r="C193" i="7"/>
  <c r="B192" i="7"/>
  <c r="D70" i="6"/>
  <c r="E69" i="6"/>
  <c r="F69" i="6" s="1"/>
  <c r="D68" i="8" l="1"/>
  <c r="G69" i="6"/>
  <c r="B69" i="8" s="1"/>
  <c r="A69" i="8"/>
  <c r="C69" i="8" s="1"/>
  <c r="D69" i="8" s="1"/>
  <c r="C192" i="7"/>
  <c r="B191" i="7"/>
  <c r="E70" i="6"/>
  <c r="F70" i="6" s="1"/>
  <c r="D71" i="6"/>
  <c r="G70" i="6" l="1"/>
  <c r="B70" i="8" s="1"/>
  <c r="A70" i="8"/>
  <c r="C70" i="8" s="1"/>
  <c r="D70" i="8" s="1"/>
  <c r="C191" i="7"/>
  <c r="B190" i="7"/>
  <c r="E71" i="6"/>
  <c r="F71" i="6" s="1"/>
  <c r="D72" i="6"/>
  <c r="G71" i="6" l="1"/>
  <c r="B71" i="8" s="1"/>
  <c r="A71" i="8"/>
  <c r="C71" i="8" s="1"/>
  <c r="D71" i="8" s="1"/>
  <c r="B189" i="7"/>
  <c r="C190" i="7"/>
  <c r="E72" i="6"/>
  <c r="F72" i="6" s="1"/>
  <c r="D73" i="6"/>
  <c r="G72" i="6" l="1"/>
  <c r="B72" i="8" s="1"/>
  <c r="A72" i="8"/>
  <c r="C72" i="8" s="1"/>
  <c r="D72" i="8" s="1"/>
  <c r="C189" i="7"/>
  <c r="B188" i="7"/>
  <c r="E73" i="6"/>
  <c r="F73" i="6" s="1"/>
  <c r="D74" i="6"/>
  <c r="G73" i="6" l="1"/>
  <c r="B73" i="8" s="1"/>
  <c r="A73" i="8"/>
  <c r="C73" i="8" s="1"/>
  <c r="D73" i="8" s="1"/>
  <c r="B187" i="7"/>
  <c r="C188" i="7"/>
  <c r="D75" i="6"/>
  <c r="E74" i="6"/>
  <c r="F74" i="6" s="1"/>
  <c r="G74" i="6" l="1"/>
  <c r="B74" i="8" s="1"/>
  <c r="A74" i="8"/>
  <c r="C74" i="8" s="1"/>
  <c r="D74" i="8" s="1"/>
  <c r="B186" i="7"/>
  <c r="C187" i="7"/>
  <c r="D76" i="6"/>
  <c r="E75" i="6"/>
  <c r="F75" i="6" s="1"/>
  <c r="G75" i="6" l="1"/>
  <c r="B75" i="8" s="1"/>
  <c r="A75" i="8"/>
  <c r="C75" i="8" s="1"/>
  <c r="D75" i="8" s="1"/>
  <c r="B185" i="7"/>
  <c r="C186" i="7"/>
  <c r="E76" i="6"/>
  <c r="F76" i="6" s="1"/>
  <c r="D77" i="6"/>
  <c r="G76" i="6" l="1"/>
  <c r="B76" i="8" s="1"/>
  <c r="A76" i="8"/>
  <c r="C76" i="8" s="1"/>
  <c r="D76" i="8" s="1"/>
  <c r="C185" i="7"/>
  <c r="B184" i="7"/>
  <c r="E77" i="6"/>
  <c r="F77" i="6" s="1"/>
  <c r="D78" i="6"/>
  <c r="G77" i="6" l="1"/>
  <c r="B77" i="8" s="1"/>
  <c r="A77" i="8"/>
  <c r="C77" i="8" s="1"/>
  <c r="D77" i="8" s="1"/>
  <c r="C184" i="7"/>
  <c r="B183" i="7"/>
  <c r="E78" i="6"/>
  <c r="F78" i="6" s="1"/>
  <c r="D79" i="6"/>
  <c r="G78" i="6" l="1"/>
  <c r="B78" i="8" s="1"/>
  <c r="A78" i="8"/>
  <c r="C78" i="8" s="1"/>
  <c r="D78" i="8" s="1"/>
  <c r="C183" i="7"/>
  <c r="B182" i="7"/>
  <c r="E79" i="6"/>
  <c r="F79" i="6" s="1"/>
  <c r="D80" i="6"/>
  <c r="G79" i="6" l="1"/>
  <c r="B79" i="8" s="1"/>
  <c r="A79" i="8"/>
  <c r="C79" i="8" s="1"/>
  <c r="B181" i="7"/>
  <c r="C182" i="7"/>
  <c r="E80" i="6"/>
  <c r="F80" i="6" s="1"/>
  <c r="D81" i="6"/>
  <c r="D79" i="8" l="1"/>
  <c r="G80" i="6"/>
  <c r="B80" i="8" s="1"/>
  <c r="A80" i="8"/>
  <c r="C80" i="8" s="1"/>
  <c r="C181" i="7"/>
  <c r="B180" i="7"/>
  <c r="D82" i="6"/>
  <c r="E81" i="6"/>
  <c r="F81" i="6" s="1"/>
  <c r="D80" i="8" l="1"/>
  <c r="G81" i="6"/>
  <c r="B81" i="8" s="1"/>
  <c r="A81" i="8"/>
  <c r="C81" i="8" s="1"/>
  <c r="B179" i="7"/>
  <c r="C180" i="7"/>
  <c r="E82" i="6"/>
  <c r="F82" i="6" s="1"/>
  <c r="D83" i="6"/>
  <c r="D81" i="8" l="1"/>
  <c r="G82" i="6"/>
  <c r="B82" i="8" s="1"/>
  <c r="A82" i="8"/>
  <c r="C82" i="8" s="1"/>
  <c r="B178" i="7"/>
  <c r="C179" i="7"/>
  <c r="E83" i="6"/>
  <c r="F83" i="6" s="1"/>
  <c r="D84" i="6"/>
  <c r="D82" i="8" l="1"/>
  <c r="G83" i="6"/>
  <c r="B83" i="8" s="1"/>
  <c r="A83" i="8"/>
  <c r="C83" i="8" s="1"/>
  <c r="B177" i="7"/>
  <c r="C178" i="7"/>
  <c r="E84" i="6"/>
  <c r="F84" i="6" s="1"/>
  <c r="D85" i="6"/>
  <c r="D83" i="8" l="1"/>
  <c r="G84" i="6"/>
  <c r="B84" i="8" s="1"/>
  <c r="A84" i="8"/>
  <c r="C84" i="8" s="1"/>
  <c r="C177" i="7"/>
  <c r="B176" i="7"/>
  <c r="D86" i="6"/>
  <c r="E85" i="6"/>
  <c r="F85" i="6" s="1"/>
  <c r="D84" i="8" l="1"/>
  <c r="G85" i="6"/>
  <c r="B85" i="8" s="1"/>
  <c r="A85" i="8"/>
  <c r="C85" i="8" s="1"/>
  <c r="C176" i="7"/>
  <c r="B175" i="7"/>
  <c r="E86" i="6"/>
  <c r="F86" i="6" s="1"/>
  <c r="D87" i="6"/>
  <c r="D85" i="8" l="1"/>
  <c r="G86" i="6"/>
  <c r="B86" i="8" s="1"/>
  <c r="A86" i="8"/>
  <c r="C86" i="8" s="1"/>
  <c r="B174" i="7"/>
  <c r="C175" i="7"/>
  <c r="D88" i="6"/>
  <c r="E87" i="6"/>
  <c r="F87" i="6" s="1"/>
  <c r="D86" i="8" l="1"/>
  <c r="G87" i="6"/>
  <c r="B87" i="8" s="1"/>
  <c r="A87" i="8"/>
  <c r="C87" i="8" s="1"/>
  <c r="D87" i="8" s="1"/>
  <c r="B173" i="7"/>
  <c r="C174" i="7"/>
  <c r="D89" i="6"/>
  <c r="E88" i="6"/>
  <c r="F88" i="6" s="1"/>
  <c r="G88" i="6" l="1"/>
  <c r="B88" i="8" s="1"/>
  <c r="A88" i="8"/>
  <c r="C88" i="8" s="1"/>
  <c r="C173" i="7"/>
  <c r="B172" i="7"/>
  <c r="E89" i="6"/>
  <c r="F89" i="6" s="1"/>
  <c r="D90" i="6"/>
  <c r="D88" i="8" l="1"/>
  <c r="G89" i="6"/>
  <c r="B89" i="8" s="1"/>
  <c r="A89" i="8"/>
  <c r="C89" i="8" s="1"/>
  <c r="C172" i="7"/>
  <c r="B171" i="7"/>
  <c r="E90" i="6"/>
  <c r="F90" i="6" s="1"/>
  <c r="D91" i="6"/>
  <c r="D89" i="8" l="1"/>
  <c r="G90" i="6"/>
  <c r="B90" i="8" s="1"/>
  <c r="A90" i="8"/>
  <c r="C90" i="8" s="1"/>
  <c r="D90" i="8" s="1"/>
  <c r="B170" i="7"/>
  <c r="C171" i="7"/>
  <c r="E91" i="6"/>
  <c r="F91" i="6" s="1"/>
  <c r="D92" i="6"/>
  <c r="G91" i="6" l="1"/>
  <c r="B91" i="8" s="1"/>
  <c r="A91" i="8"/>
  <c r="C91" i="8" s="1"/>
  <c r="D91" i="8" s="1"/>
  <c r="B169" i="7"/>
  <c r="C170" i="7"/>
  <c r="D93" i="6"/>
  <c r="E92" i="6"/>
  <c r="F92" i="6" s="1"/>
  <c r="G92" i="6" l="1"/>
  <c r="B92" i="8" s="1"/>
  <c r="A92" i="8"/>
  <c r="C92" i="8" s="1"/>
  <c r="D92" i="8" s="1"/>
  <c r="C169" i="7"/>
  <c r="B168" i="7"/>
  <c r="D94" i="6"/>
  <c r="E93" i="6"/>
  <c r="F93" i="6" s="1"/>
  <c r="G93" i="6" l="1"/>
  <c r="B93" i="8" s="1"/>
  <c r="A93" i="8"/>
  <c r="C93" i="8" s="1"/>
  <c r="D93" i="8" s="1"/>
  <c r="C168" i="7"/>
  <c r="B167" i="7"/>
  <c r="D95" i="6"/>
  <c r="E94" i="6"/>
  <c r="F94" i="6" s="1"/>
  <c r="G94" i="6" l="1"/>
  <c r="B94" i="8" s="1"/>
  <c r="A94" i="8"/>
  <c r="C94" i="8" s="1"/>
  <c r="D94" i="8" s="1"/>
  <c r="B166" i="7"/>
  <c r="C167" i="7"/>
  <c r="E95" i="6"/>
  <c r="F95" i="6" s="1"/>
  <c r="D96" i="6"/>
  <c r="G95" i="6" l="1"/>
  <c r="B95" i="8" s="1"/>
  <c r="A95" i="8"/>
  <c r="C95" i="8" s="1"/>
  <c r="D95" i="8" s="1"/>
  <c r="B165" i="7"/>
  <c r="C166" i="7"/>
  <c r="E96" i="6"/>
  <c r="F96" i="6" s="1"/>
  <c r="D97" i="6"/>
  <c r="G96" i="6" l="1"/>
  <c r="B96" i="8" s="1"/>
  <c r="A96" i="8"/>
  <c r="C96" i="8" s="1"/>
  <c r="D96" i="8" s="1"/>
  <c r="C165" i="7"/>
  <c r="B164" i="7"/>
  <c r="D98" i="6"/>
  <c r="E97" i="6"/>
  <c r="F97" i="6" s="1"/>
  <c r="G97" i="6" l="1"/>
  <c r="B97" i="8" s="1"/>
  <c r="A97" i="8"/>
  <c r="C97" i="8" s="1"/>
  <c r="D97" i="8" s="1"/>
  <c r="C164" i="7"/>
  <c r="B163" i="7"/>
  <c r="E98" i="6"/>
  <c r="F98" i="6" s="1"/>
  <c r="D99" i="6"/>
  <c r="G98" i="6" l="1"/>
  <c r="B98" i="8" s="1"/>
  <c r="A98" i="8"/>
  <c r="C98" i="8" s="1"/>
  <c r="D98" i="8" s="1"/>
  <c r="B162" i="7"/>
  <c r="C163" i="7"/>
  <c r="D100" i="6"/>
  <c r="E99" i="6"/>
  <c r="F99" i="6" s="1"/>
  <c r="G99" i="6" l="1"/>
  <c r="B99" i="8" s="1"/>
  <c r="A99" i="8"/>
  <c r="C99" i="8" s="1"/>
  <c r="D99" i="8" s="1"/>
  <c r="B161" i="7"/>
  <c r="C162" i="7"/>
  <c r="D101" i="6"/>
  <c r="E100" i="6"/>
  <c r="F100" i="6" s="1"/>
  <c r="G100" i="6" l="1"/>
  <c r="B100" i="8" s="1"/>
  <c r="A100" i="8"/>
  <c r="C100" i="8" s="1"/>
  <c r="C161" i="7"/>
  <c r="B160" i="7"/>
  <c r="D102" i="6"/>
  <c r="E101" i="6"/>
  <c r="F101" i="6" s="1"/>
  <c r="D100" i="8" l="1"/>
  <c r="G101" i="6"/>
  <c r="B101" i="8" s="1"/>
  <c r="A101" i="8"/>
  <c r="C101" i="8" s="1"/>
  <c r="D101" i="8" s="1"/>
  <c r="C160" i="7"/>
  <c r="B159" i="7"/>
  <c r="E102" i="6"/>
  <c r="F102" i="6" s="1"/>
  <c r="D103" i="6"/>
  <c r="G102" i="6" l="1"/>
  <c r="B102" i="8" s="1"/>
  <c r="A102" i="8"/>
  <c r="C102" i="8" s="1"/>
  <c r="D102" i="8" s="1"/>
  <c r="C159" i="7"/>
  <c r="B158" i="7"/>
  <c r="E103" i="6"/>
  <c r="F103" i="6" s="1"/>
  <c r="D104" i="6"/>
  <c r="G103" i="6" l="1"/>
  <c r="B103" i="8" s="1"/>
  <c r="A103" i="8"/>
  <c r="C103" i="8" s="1"/>
  <c r="B157" i="7"/>
  <c r="C158" i="7"/>
  <c r="E104" i="6"/>
  <c r="F104" i="6" s="1"/>
  <c r="D105" i="6"/>
  <c r="D103" i="8" l="1"/>
  <c r="G104" i="6"/>
  <c r="B104" i="8" s="1"/>
  <c r="A104" i="8"/>
  <c r="C104" i="8" s="1"/>
  <c r="C157" i="7"/>
  <c r="B156" i="7"/>
  <c r="D106" i="6"/>
  <c r="E105" i="6"/>
  <c r="F105" i="6" s="1"/>
  <c r="D104" i="8" l="1"/>
  <c r="G105" i="6"/>
  <c r="B105" i="8" s="1"/>
  <c r="A105" i="8"/>
  <c r="C105" i="8" s="1"/>
  <c r="B155" i="7"/>
  <c r="C156" i="7"/>
  <c r="D107" i="6"/>
  <c r="E106" i="6"/>
  <c r="F106" i="6" s="1"/>
  <c r="D105" i="8" l="1"/>
  <c r="G106" i="6"/>
  <c r="B106" i="8" s="1"/>
  <c r="A106" i="8"/>
  <c r="C106" i="8" s="1"/>
  <c r="B154" i="7"/>
  <c r="C155" i="7"/>
  <c r="E107" i="6"/>
  <c r="F107" i="6" s="1"/>
  <c r="D108" i="6"/>
  <c r="D106" i="8" l="1"/>
  <c r="G107" i="6"/>
  <c r="B107" i="8" s="1"/>
  <c r="A107" i="8"/>
  <c r="C107" i="8" s="1"/>
  <c r="B153" i="7"/>
  <c r="C154" i="7"/>
  <c r="E108" i="6"/>
  <c r="F108" i="6" s="1"/>
  <c r="D109" i="6"/>
  <c r="D107" i="8" l="1"/>
  <c r="G108" i="6"/>
  <c r="B108" i="8" s="1"/>
  <c r="A108" i="8"/>
  <c r="C108" i="8" s="1"/>
  <c r="C153" i="7"/>
  <c r="B152" i="7"/>
  <c r="D110" i="6"/>
  <c r="E109" i="6"/>
  <c r="F109" i="6" s="1"/>
  <c r="D108" i="8" l="1"/>
  <c r="G109" i="6"/>
  <c r="B109" i="8" s="1"/>
  <c r="A109" i="8"/>
  <c r="C109" i="8" s="1"/>
  <c r="C152" i="7"/>
  <c r="B151" i="7"/>
  <c r="E110" i="6"/>
  <c r="F110" i="6" s="1"/>
  <c r="D111" i="6"/>
  <c r="D109" i="8" l="1"/>
  <c r="G110" i="6"/>
  <c r="B110" i="8" s="1"/>
  <c r="A110" i="8"/>
  <c r="C110" i="8" s="1"/>
  <c r="C151" i="7"/>
  <c r="B150" i="7"/>
  <c r="D112" i="6"/>
  <c r="E111" i="6"/>
  <c r="F111" i="6" s="1"/>
  <c r="D110" i="8" l="1"/>
  <c r="G111" i="6"/>
  <c r="B111" i="8" s="1"/>
  <c r="A111" i="8"/>
  <c r="C111" i="8" s="1"/>
  <c r="B149" i="7"/>
  <c r="C150" i="7"/>
  <c r="D113" i="6"/>
  <c r="E112" i="6"/>
  <c r="F112" i="6" s="1"/>
  <c r="D111" i="8" l="1"/>
  <c r="G112" i="6"/>
  <c r="B112" i="8" s="1"/>
  <c r="A112" i="8"/>
  <c r="C112" i="8" s="1"/>
  <c r="C149" i="7"/>
  <c r="B148" i="7"/>
  <c r="E113" i="6"/>
  <c r="F113" i="6" s="1"/>
  <c r="D114" i="6"/>
  <c r="D112" i="8" l="1"/>
  <c r="G113" i="6"/>
  <c r="B113" i="8" s="1"/>
  <c r="A113" i="8"/>
  <c r="C113" i="8" s="1"/>
  <c r="C148" i="7"/>
  <c r="B147" i="7"/>
  <c r="E114" i="6"/>
  <c r="F114" i="6" s="1"/>
  <c r="D115" i="6"/>
  <c r="D113" i="8" l="1"/>
  <c r="G114" i="6"/>
  <c r="B114" i="8" s="1"/>
  <c r="A114" i="8"/>
  <c r="C114" i="8" s="1"/>
  <c r="B146" i="7"/>
  <c r="C147" i="7"/>
  <c r="D116" i="6"/>
  <c r="E115" i="6"/>
  <c r="F115" i="6" s="1"/>
  <c r="D114" i="8" l="1"/>
  <c r="G115" i="6"/>
  <c r="B115" i="8" s="1"/>
  <c r="A115" i="8"/>
  <c r="C115" i="8" s="1"/>
  <c r="B145" i="7"/>
  <c r="C146" i="7"/>
  <c r="E116" i="6"/>
  <c r="F116" i="6" s="1"/>
  <c r="D117" i="6"/>
  <c r="D115" i="8" l="1"/>
  <c r="G116" i="6"/>
  <c r="B116" i="8" s="1"/>
  <c r="A116" i="8"/>
  <c r="C116" i="8" s="1"/>
  <c r="D116" i="8" s="1"/>
  <c r="C145" i="7"/>
  <c r="B144" i="7"/>
  <c r="D118" i="6"/>
  <c r="E117" i="6"/>
  <c r="F117" i="6" s="1"/>
  <c r="G117" i="6" l="1"/>
  <c r="B117" i="8" s="1"/>
  <c r="A117" i="8"/>
  <c r="C117" i="8" s="1"/>
  <c r="D117" i="8" s="1"/>
  <c r="C144" i="7"/>
  <c r="B143" i="7"/>
  <c r="D119" i="6"/>
  <c r="E118" i="6"/>
  <c r="F118" i="6" s="1"/>
  <c r="G118" i="6" l="1"/>
  <c r="B118" i="8" s="1"/>
  <c r="A118" i="8"/>
  <c r="C118" i="8" s="1"/>
  <c r="D118" i="8" s="1"/>
  <c r="B142" i="7"/>
  <c r="C143" i="7"/>
  <c r="E119" i="6"/>
  <c r="F119" i="6" s="1"/>
  <c r="D120" i="6"/>
  <c r="G119" i="6" l="1"/>
  <c r="B119" i="8" s="1"/>
  <c r="A119" i="8"/>
  <c r="C119" i="8" s="1"/>
  <c r="D119" i="8" s="1"/>
  <c r="B141" i="7"/>
  <c r="C142" i="7"/>
  <c r="E120" i="6"/>
  <c r="F120" i="6" s="1"/>
  <c r="D121" i="6"/>
  <c r="G120" i="6" l="1"/>
  <c r="B120" i="8" s="1"/>
  <c r="A120" i="8"/>
  <c r="C120" i="8" s="1"/>
  <c r="D120" i="8" s="1"/>
  <c r="C141" i="7"/>
  <c r="B140" i="7"/>
  <c r="E121" i="6"/>
  <c r="F121" i="6" s="1"/>
  <c r="D122" i="6"/>
  <c r="G121" i="6" l="1"/>
  <c r="B121" i="8" s="1"/>
  <c r="A121" i="8"/>
  <c r="C121" i="8" s="1"/>
  <c r="C140" i="7"/>
  <c r="B139" i="7"/>
  <c r="E122" i="6"/>
  <c r="F122" i="6" s="1"/>
  <c r="D123" i="6"/>
  <c r="D121" i="8" l="1"/>
  <c r="G122" i="6"/>
  <c r="B122" i="8" s="1"/>
  <c r="A122" i="8"/>
  <c r="C122" i="8" s="1"/>
  <c r="B138" i="7"/>
  <c r="C139" i="7"/>
  <c r="D124" i="6"/>
  <c r="E123" i="6"/>
  <c r="F123" i="6" s="1"/>
  <c r="D122" i="8" l="1"/>
  <c r="G123" i="6"/>
  <c r="B123" i="8" s="1"/>
  <c r="A123" i="8"/>
  <c r="C123" i="8" s="1"/>
  <c r="B137" i="7"/>
  <c r="C138" i="7"/>
  <c r="D125" i="6"/>
  <c r="E124" i="6"/>
  <c r="F124" i="6" s="1"/>
  <c r="G124" i="6" l="1"/>
  <c r="B124" i="8" s="1"/>
  <c r="A124" i="8"/>
  <c r="C124" i="8" s="1"/>
  <c r="D124" i="8" s="1"/>
  <c r="D123" i="8"/>
  <c r="C137" i="7"/>
  <c r="B136" i="7"/>
  <c r="E125" i="6"/>
  <c r="F125" i="6" s="1"/>
  <c r="D126" i="6"/>
  <c r="G125" i="6" l="1"/>
  <c r="B125" i="8" s="1"/>
  <c r="A125" i="8"/>
  <c r="C125" i="8" s="1"/>
  <c r="D125" i="8" s="1"/>
  <c r="C136" i="7"/>
  <c r="B135" i="7"/>
  <c r="E126" i="6"/>
  <c r="F126" i="6" s="1"/>
  <c r="D127" i="6"/>
  <c r="G126" i="6" l="1"/>
  <c r="B126" i="8" s="1"/>
  <c r="A126" i="8"/>
  <c r="C126" i="8" s="1"/>
  <c r="D126" i="8" s="1"/>
  <c r="C135" i="7"/>
  <c r="B134" i="7"/>
  <c r="D128" i="6"/>
  <c r="E127" i="6"/>
  <c r="F127" i="6" s="1"/>
  <c r="G127" i="6" l="1"/>
  <c r="B127" i="8" s="1"/>
  <c r="A127" i="8"/>
  <c r="C127" i="8" s="1"/>
  <c r="D127" i="8" s="1"/>
  <c r="B133" i="7"/>
  <c r="C134" i="7"/>
  <c r="D129" i="6"/>
  <c r="E128" i="6"/>
  <c r="F128" i="6" s="1"/>
  <c r="G128" i="6" l="1"/>
  <c r="B128" i="8" s="1"/>
  <c r="A128" i="8"/>
  <c r="C128" i="8" s="1"/>
  <c r="C133" i="7"/>
  <c r="B132" i="7"/>
  <c r="D130" i="6"/>
  <c r="E129" i="6"/>
  <c r="F129" i="6" s="1"/>
  <c r="G129" i="6" l="1"/>
  <c r="B129" i="8" s="1"/>
  <c r="A129" i="8"/>
  <c r="C129" i="8" s="1"/>
  <c r="D129" i="8" s="1"/>
  <c r="D128" i="8"/>
  <c r="B131" i="7"/>
  <c r="C132" i="7"/>
  <c r="D131" i="6"/>
  <c r="E130" i="6"/>
  <c r="F130" i="6" s="1"/>
  <c r="G130" i="6" l="1"/>
  <c r="B130" i="8" s="1"/>
  <c r="A130" i="8"/>
  <c r="C130" i="8" s="1"/>
  <c r="B130" i="7"/>
  <c r="C131" i="7"/>
  <c r="E131" i="6"/>
  <c r="F131" i="6" s="1"/>
  <c r="D132" i="6"/>
  <c r="D130" i="8" l="1"/>
  <c r="G131" i="6"/>
  <c r="B131" i="8" s="1"/>
  <c r="A131" i="8"/>
  <c r="C131" i="8" s="1"/>
  <c r="B129" i="7"/>
  <c r="C130" i="7"/>
  <c r="E132" i="6"/>
  <c r="F132" i="6" s="1"/>
  <c r="D133" i="6"/>
  <c r="G132" i="6" l="1"/>
  <c r="B132" i="8" s="1"/>
  <c r="A132" i="8"/>
  <c r="C132" i="8" s="1"/>
  <c r="D131" i="8"/>
  <c r="C129" i="7"/>
  <c r="B128" i="7"/>
  <c r="E133" i="6"/>
  <c r="F133" i="6" s="1"/>
  <c r="D134" i="6"/>
  <c r="D132" i="8" l="1"/>
  <c r="G133" i="6"/>
  <c r="B133" i="8" s="1"/>
  <c r="A133" i="8"/>
  <c r="C133" i="8" s="1"/>
  <c r="C128" i="7"/>
  <c r="B127" i="7"/>
  <c r="D135" i="6"/>
  <c r="E134" i="6"/>
  <c r="F134" i="6" s="1"/>
  <c r="D133" i="8" l="1"/>
  <c r="G134" i="6"/>
  <c r="B134" i="8" s="1"/>
  <c r="A134" i="8"/>
  <c r="C134" i="8" s="1"/>
  <c r="C127" i="7"/>
  <c r="B126" i="7"/>
  <c r="D136" i="6"/>
  <c r="E135" i="6"/>
  <c r="F135" i="6" s="1"/>
  <c r="D134" i="8" l="1"/>
  <c r="G135" i="6"/>
  <c r="B135" i="8" s="1"/>
  <c r="A135" i="8"/>
  <c r="C135" i="8" s="1"/>
  <c r="B125" i="7"/>
  <c r="C126" i="7"/>
  <c r="D137" i="6"/>
  <c r="E136" i="6"/>
  <c r="F136" i="6" s="1"/>
  <c r="G136" i="6" l="1"/>
  <c r="B136" i="8" s="1"/>
  <c r="A136" i="8"/>
  <c r="C136" i="8" s="1"/>
  <c r="D135" i="8"/>
  <c r="C125" i="7"/>
  <c r="B124" i="7"/>
  <c r="E137" i="6"/>
  <c r="F137" i="6" s="1"/>
  <c r="D138" i="6"/>
  <c r="D136" i="8" l="1"/>
  <c r="G137" i="6"/>
  <c r="B137" i="8" s="1"/>
  <c r="A137" i="8"/>
  <c r="C137" i="8" s="1"/>
  <c r="B123" i="7"/>
  <c r="C124" i="7"/>
  <c r="E138" i="6"/>
  <c r="F138" i="6" s="1"/>
  <c r="D139" i="6"/>
  <c r="G138" i="6" l="1"/>
  <c r="B138" i="8" s="1"/>
  <c r="A138" i="8"/>
  <c r="C138" i="8" s="1"/>
  <c r="D137" i="8"/>
  <c r="B122" i="7"/>
  <c r="C123" i="7"/>
  <c r="E139" i="6"/>
  <c r="F139" i="6" s="1"/>
  <c r="D140" i="6"/>
  <c r="D138" i="8" l="1"/>
  <c r="G139" i="6"/>
  <c r="B139" i="8" s="1"/>
  <c r="A139" i="8"/>
  <c r="C139" i="8" s="1"/>
  <c r="B121" i="7"/>
  <c r="C122" i="7"/>
  <c r="E140" i="6"/>
  <c r="F140" i="6" s="1"/>
  <c r="D141" i="6"/>
  <c r="D139" i="8" l="1"/>
  <c r="G140" i="6"/>
  <c r="B140" i="8" s="1"/>
  <c r="A140" i="8"/>
  <c r="C140" i="8" s="1"/>
  <c r="C121" i="7"/>
  <c r="B120" i="7"/>
  <c r="D142" i="6"/>
  <c r="E141" i="6"/>
  <c r="F141" i="6" s="1"/>
  <c r="D140" i="8" l="1"/>
  <c r="G141" i="6"/>
  <c r="B141" i="8" s="1"/>
  <c r="A141" i="8"/>
  <c r="C141" i="8" s="1"/>
  <c r="C120" i="7"/>
  <c r="B119" i="7"/>
  <c r="D143" i="6"/>
  <c r="E142" i="6"/>
  <c r="F142" i="6" s="1"/>
  <c r="D141" i="8" l="1"/>
  <c r="G142" i="6"/>
  <c r="B142" i="8" s="1"/>
  <c r="A142" i="8"/>
  <c r="C142" i="8" s="1"/>
  <c r="D142" i="8" s="1"/>
  <c r="B118" i="7"/>
  <c r="C119" i="7"/>
  <c r="E143" i="6"/>
  <c r="F143" i="6" s="1"/>
  <c r="D144" i="6"/>
  <c r="G143" i="6" l="1"/>
  <c r="B143" i="8" s="1"/>
  <c r="A143" i="8"/>
  <c r="C143" i="8" s="1"/>
  <c r="D143" i="8" s="1"/>
  <c r="B117" i="7"/>
  <c r="C118" i="7"/>
  <c r="E144" i="6"/>
  <c r="F144" i="6" s="1"/>
  <c r="D145" i="6"/>
  <c r="G144" i="6" l="1"/>
  <c r="B144" i="8" s="1"/>
  <c r="A144" i="8"/>
  <c r="C144" i="8" s="1"/>
  <c r="D144" i="8" s="1"/>
  <c r="C117" i="7"/>
  <c r="B116" i="7"/>
  <c r="D146" i="6"/>
  <c r="E145" i="6"/>
  <c r="F145" i="6" s="1"/>
  <c r="G145" i="6" l="1"/>
  <c r="B145" i="8" s="1"/>
  <c r="A145" i="8"/>
  <c r="C145" i="8" s="1"/>
  <c r="D145" i="8" s="1"/>
  <c r="B115" i="7"/>
  <c r="C116" i="7"/>
  <c r="D147" i="6"/>
  <c r="E146" i="6"/>
  <c r="F146" i="6" s="1"/>
  <c r="G146" i="6" l="1"/>
  <c r="B146" i="8" s="1"/>
  <c r="A146" i="8"/>
  <c r="C146" i="8" s="1"/>
  <c r="D146" i="8" s="1"/>
  <c r="B114" i="7"/>
  <c r="C115" i="7"/>
  <c r="D148" i="6"/>
  <c r="E147" i="6"/>
  <c r="F147" i="6" s="1"/>
  <c r="G147" i="6" l="1"/>
  <c r="B147" i="8" s="1"/>
  <c r="A147" i="8"/>
  <c r="C147" i="8" s="1"/>
  <c r="B113" i="7"/>
  <c r="C114" i="7"/>
  <c r="D149" i="6"/>
  <c r="E148" i="6"/>
  <c r="F148" i="6" s="1"/>
  <c r="D147" i="8" l="1"/>
  <c r="G148" i="6"/>
  <c r="B148" i="8" s="1"/>
  <c r="A148" i="8"/>
  <c r="C148" i="8" s="1"/>
  <c r="C113" i="7"/>
  <c r="B112" i="7"/>
  <c r="E149" i="6"/>
  <c r="F149" i="6" s="1"/>
  <c r="D150" i="6"/>
  <c r="D148" i="8" l="1"/>
  <c r="G149" i="6"/>
  <c r="B149" i="8" s="1"/>
  <c r="A149" i="8"/>
  <c r="C149" i="8" s="1"/>
  <c r="D149" i="8" s="1"/>
  <c r="C112" i="7"/>
  <c r="B111" i="7"/>
  <c r="E150" i="6"/>
  <c r="F150" i="6" s="1"/>
  <c r="D151" i="6"/>
  <c r="G150" i="6" l="1"/>
  <c r="B150" i="8" s="1"/>
  <c r="A150" i="8"/>
  <c r="C150" i="8" s="1"/>
  <c r="D150" i="8" s="1"/>
  <c r="B110" i="7"/>
  <c r="C111" i="7"/>
  <c r="E151" i="6"/>
  <c r="F151" i="6" s="1"/>
  <c r="D152" i="6"/>
  <c r="G151" i="6" l="1"/>
  <c r="B151" i="8" s="1"/>
  <c r="A151" i="8"/>
  <c r="C151" i="8" s="1"/>
  <c r="B109" i="7"/>
  <c r="C110" i="7"/>
  <c r="E152" i="6"/>
  <c r="F152" i="6" s="1"/>
  <c r="D153" i="6"/>
  <c r="D151" i="8" l="1"/>
  <c r="G152" i="6"/>
  <c r="B152" i="8" s="1"/>
  <c r="A152" i="8"/>
  <c r="C152" i="8" s="1"/>
  <c r="C109" i="7"/>
  <c r="B108" i="7"/>
  <c r="D154" i="6"/>
  <c r="E153" i="6"/>
  <c r="F153" i="6" s="1"/>
  <c r="D152" i="8" l="1"/>
  <c r="G153" i="6"/>
  <c r="B153" i="8" s="1"/>
  <c r="A153" i="8"/>
  <c r="C153" i="8" s="1"/>
  <c r="C108" i="7"/>
  <c r="B107" i="7"/>
  <c r="D155" i="6"/>
  <c r="E154" i="6"/>
  <c r="F154" i="6" s="1"/>
  <c r="D153" i="8" l="1"/>
  <c r="G154" i="6"/>
  <c r="B154" i="8" s="1"/>
  <c r="A154" i="8"/>
  <c r="C154" i="8" s="1"/>
  <c r="B106" i="7"/>
  <c r="C107" i="7"/>
  <c r="E155" i="6"/>
  <c r="F155" i="6" s="1"/>
  <c r="D156" i="6"/>
  <c r="D154" i="8" l="1"/>
  <c r="G155" i="6"/>
  <c r="B155" i="8" s="1"/>
  <c r="A155" i="8"/>
  <c r="C155" i="8" s="1"/>
  <c r="B105" i="7"/>
  <c r="C106" i="7"/>
  <c r="E156" i="6"/>
  <c r="F156" i="6" s="1"/>
  <c r="D157" i="6"/>
  <c r="D155" i="8" l="1"/>
  <c r="G156" i="6"/>
  <c r="B156" i="8" s="1"/>
  <c r="A156" i="8"/>
  <c r="C156" i="8" s="1"/>
  <c r="C105" i="7"/>
  <c r="B104" i="7"/>
  <c r="E157" i="6"/>
  <c r="F157" i="6" s="1"/>
  <c r="D158" i="6"/>
  <c r="D156" i="8" l="1"/>
  <c r="G157" i="6"/>
  <c r="B157" i="8" s="1"/>
  <c r="A157" i="8"/>
  <c r="C157" i="8" s="1"/>
  <c r="C104" i="7"/>
  <c r="B103" i="7"/>
  <c r="D159" i="6"/>
  <c r="E158" i="6"/>
  <c r="F158" i="6" s="1"/>
  <c r="D157" i="8" l="1"/>
  <c r="G158" i="6"/>
  <c r="B158" i="8" s="1"/>
  <c r="A158" i="8"/>
  <c r="C158" i="8" s="1"/>
  <c r="D158" i="8" s="1"/>
  <c r="B102" i="7"/>
  <c r="C103" i="7"/>
  <c r="D160" i="6"/>
  <c r="E159" i="6"/>
  <c r="F159" i="6" s="1"/>
  <c r="G159" i="6" l="1"/>
  <c r="B159" i="8" s="1"/>
  <c r="A159" i="8"/>
  <c r="C159" i="8" s="1"/>
  <c r="D159" i="8" s="1"/>
  <c r="B101" i="7"/>
  <c r="C102" i="7"/>
  <c r="E160" i="6"/>
  <c r="F160" i="6" s="1"/>
  <c r="D161" i="6"/>
  <c r="G160" i="6" l="1"/>
  <c r="B160" i="8" s="1"/>
  <c r="A160" i="8"/>
  <c r="C160" i="8" s="1"/>
  <c r="D160" i="8" s="1"/>
  <c r="C101" i="7"/>
  <c r="B100" i="7"/>
  <c r="E161" i="6"/>
  <c r="F161" i="6" s="1"/>
  <c r="D162" i="6"/>
  <c r="G161" i="6" l="1"/>
  <c r="B161" i="8" s="1"/>
  <c r="A161" i="8"/>
  <c r="C161" i="8" s="1"/>
  <c r="D161" i="8" s="1"/>
  <c r="C100" i="7"/>
  <c r="B99" i="7"/>
  <c r="E162" i="6"/>
  <c r="F162" i="6" s="1"/>
  <c r="D163" i="6"/>
  <c r="G162" i="6" l="1"/>
  <c r="B162" i="8" s="1"/>
  <c r="A162" i="8"/>
  <c r="C162" i="8" s="1"/>
  <c r="D162" i="8" s="1"/>
  <c r="B98" i="7"/>
  <c r="C99" i="7"/>
  <c r="D164" i="6"/>
  <c r="E163" i="6"/>
  <c r="F163" i="6" s="1"/>
  <c r="G163" i="6" l="1"/>
  <c r="B163" i="8" s="1"/>
  <c r="A163" i="8"/>
  <c r="C163" i="8" s="1"/>
  <c r="B97" i="7"/>
  <c r="C98" i="7"/>
  <c r="E164" i="6"/>
  <c r="F164" i="6" s="1"/>
  <c r="D165" i="6"/>
  <c r="D163" i="8" l="1"/>
  <c r="G164" i="6"/>
  <c r="B164" i="8" s="1"/>
  <c r="A164" i="8"/>
  <c r="C164" i="8" s="1"/>
  <c r="C97" i="7"/>
  <c r="B96" i="7"/>
  <c r="D166" i="6"/>
  <c r="E165" i="6"/>
  <c r="F165" i="6" s="1"/>
  <c r="D164" i="8" l="1"/>
  <c r="G165" i="6"/>
  <c r="B165" i="8" s="1"/>
  <c r="A165" i="8"/>
  <c r="C165" i="8" s="1"/>
  <c r="C96" i="7"/>
  <c r="B95" i="7"/>
  <c r="D167" i="6"/>
  <c r="E166" i="6"/>
  <c r="F166" i="6" s="1"/>
  <c r="D165" i="8" l="1"/>
  <c r="G166" i="6"/>
  <c r="B166" i="8" s="1"/>
  <c r="A166" i="8"/>
  <c r="C166" i="8" s="1"/>
  <c r="C95" i="7"/>
  <c r="B94" i="7"/>
  <c r="E167" i="6"/>
  <c r="F167" i="6" s="1"/>
  <c r="D168" i="6"/>
  <c r="D166" i="8" l="1"/>
  <c r="G167" i="6"/>
  <c r="B167" i="8" s="1"/>
  <c r="A167" i="8"/>
  <c r="C167" i="8" s="1"/>
  <c r="B93" i="7"/>
  <c r="C94" i="7"/>
  <c r="E168" i="6"/>
  <c r="F168" i="6" s="1"/>
  <c r="D169" i="6"/>
  <c r="D167" i="8" l="1"/>
  <c r="G168" i="6"/>
  <c r="B168" i="8" s="1"/>
  <c r="A168" i="8"/>
  <c r="C168" i="8" s="1"/>
  <c r="D168" i="8" s="1"/>
  <c r="C93" i="7"/>
  <c r="B92" i="7"/>
  <c r="D170" i="6"/>
  <c r="E169" i="6"/>
  <c r="F169" i="6" s="1"/>
  <c r="G169" i="6" l="1"/>
  <c r="B169" i="8" s="1"/>
  <c r="A169" i="8"/>
  <c r="C169" i="8" s="1"/>
  <c r="B91" i="7"/>
  <c r="C92" i="7"/>
  <c r="D171" i="6"/>
  <c r="E170" i="6"/>
  <c r="F170" i="6" s="1"/>
  <c r="D169" i="8" l="1"/>
  <c r="G170" i="6"/>
  <c r="B170" i="8" s="1"/>
  <c r="A170" i="8"/>
  <c r="C170" i="8" s="1"/>
  <c r="B90" i="7"/>
  <c r="C91" i="7"/>
  <c r="D172" i="6"/>
  <c r="E171" i="6"/>
  <c r="F171" i="6" s="1"/>
  <c r="D170" i="8" l="1"/>
  <c r="G171" i="6"/>
  <c r="B171" i="8" s="1"/>
  <c r="A171" i="8"/>
  <c r="C171" i="8" s="1"/>
  <c r="D171" i="8" s="1"/>
  <c r="B89" i="7"/>
  <c r="C90" i="7"/>
  <c r="D173" i="6"/>
  <c r="E172" i="6"/>
  <c r="F172" i="6" s="1"/>
  <c r="G172" i="6" l="1"/>
  <c r="B172" i="8" s="1"/>
  <c r="A172" i="8"/>
  <c r="C172" i="8" s="1"/>
  <c r="C89" i="7"/>
  <c r="B88" i="7"/>
  <c r="E173" i="6"/>
  <c r="F173" i="6" s="1"/>
  <c r="D174" i="6"/>
  <c r="D172" i="8" l="1"/>
  <c r="G173" i="6"/>
  <c r="B173" i="8" s="1"/>
  <c r="A173" i="8"/>
  <c r="C173" i="8" s="1"/>
  <c r="C88" i="7"/>
  <c r="B87" i="7"/>
  <c r="E174" i="6"/>
  <c r="F174" i="6" s="1"/>
  <c r="D175" i="6"/>
  <c r="D173" i="8" l="1"/>
  <c r="G174" i="6"/>
  <c r="B174" i="8" s="1"/>
  <c r="A174" i="8"/>
  <c r="C174" i="8" s="1"/>
  <c r="C87" i="7"/>
  <c r="B86" i="7"/>
  <c r="D176" i="6"/>
  <c r="E175" i="6"/>
  <c r="F175" i="6" s="1"/>
  <c r="D174" i="8" l="1"/>
  <c r="G175" i="6"/>
  <c r="B175" i="8" s="1"/>
  <c r="A175" i="8"/>
  <c r="C175" i="8" s="1"/>
  <c r="D175" i="8" s="1"/>
  <c r="B85" i="7"/>
  <c r="C86" i="7"/>
  <c r="D177" i="6"/>
  <c r="E176" i="6"/>
  <c r="F176" i="6" s="1"/>
  <c r="G176" i="6" l="1"/>
  <c r="B176" i="8" s="1"/>
  <c r="A176" i="8"/>
  <c r="C176" i="8" s="1"/>
  <c r="D176" i="8" s="1"/>
  <c r="C85" i="7"/>
  <c r="B84" i="7"/>
  <c r="D178" i="6"/>
  <c r="E177" i="6"/>
  <c r="F177" i="6" s="1"/>
  <c r="G177" i="6" l="1"/>
  <c r="B177" i="8" s="1"/>
  <c r="A177" i="8"/>
  <c r="C177" i="8" s="1"/>
  <c r="C84" i="7"/>
  <c r="B83" i="7"/>
  <c r="D179" i="6"/>
  <c r="E178" i="6"/>
  <c r="F178" i="6" s="1"/>
  <c r="D177" i="8" l="1"/>
  <c r="G178" i="6"/>
  <c r="B178" i="8" s="1"/>
  <c r="A178" i="8"/>
  <c r="C178" i="8" s="1"/>
  <c r="B82" i="7"/>
  <c r="C83" i="7"/>
  <c r="E179" i="6"/>
  <c r="F179" i="6" s="1"/>
  <c r="D180" i="6"/>
  <c r="D178" i="8" l="1"/>
  <c r="G179" i="6"/>
  <c r="B179" i="8" s="1"/>
  <c r="A179" i="8"/>
  <c r="C179" i="8" s="1"/>
  <c r="B81" i="7"/>
  <c r="C82" i="7"/>
  <c r="E180" i="6"/>
  <c r="F180" i="6" s="1"/>
  <c r="D181" i="6"/>
  <c r="D179" i="8" l="1"/>
  <c r="G180" i="6"/>
  <c r="B180" i="8" s="1"/>
  <c r="A180" i="8"/>
  <c r="C180" i="8" s="1"/>
  <c r="D180" i="8" s="1"/>
  <c r="C81" i="7"/>
  <c r="B80" i="7"/>
  <c r="E181" i="6"/>
  <c r="F181" i="6" s="1"/>
  <c r="D182" i="6"/>
  <c r="G181" i="6" l="1"/>
  <c r="B181" i="8" s="1"/>
  <c r="A181" i="8"/>
  <c r="C181" i="8" s="1"/>
  <c r="C80" i="7"/>
  <c r="B79" i="7"/>
  <c r="E182" i="6"/>
  <c r="F182" i="6" s="1"/>
  <c r="D183" i="6"/>
  <c r="D181" i="8" l="1"/>
  <c r="G182" i="6"/>
  <c r="B182" i="8" s="1"/>
  <c r="A182" i="8"/>
  <c r="C182" i="8" s="1"/>
  <c r="D182" i="8" s="1"/>
  <c r="B78" i="7"/>
  <c r="C79" i="7"/>
  <c r="D184" i="6"/>
  <c r="E183" i="6"/>
  <c r="F183" i="6" s="1"/>
  <c r="G183" i="6" l="1"/>
  <c r="B183" i="8" s="1"/>
  <c r="A183" i="8"/>
  <c r="C183" i="8" s="1"/>
  <c r="C78" i="7"/>
  <c r="B77" i="7"/>
  <c r="D185" i="6"/>
  <c r="E184" i="6"/>
  <c r="F184" i="6" s="1"/>
  <c r="D183" i="8" l="1"/>
  <c r="G184" i="6"/>
  <c r="B184" i="8" s="1"/>
  <c r="A184" i="8"/>
  <c r="C184" i="8" s="1"/>
  <c r="C77" i="7"/>
  <c r="B76" i="7"/>
  <c r="E185" i="6"/>
  <c r="F185" i="6" s="1"/>
  <c r="D186" i="6"/>
  <c r="D184" i="8" l="1"/>
  <c r="G185" i="6"/>
  <c r="B185" i="8" s="1"/>
  <c r="A185" i="8"/>
  <c r="C185" i="8" s="1"/>
  <c r="C76" i="7"/>
  <c r="B75" i="7"/>
  <c r="E186" i="6"/>
  <c r="F186" i="6" s="1"/>
  <c r="D187" i="6"/>
  <c r="G186" i="6" l="1"/>
  <c r="B186" i="8" s="1"/>
  <c r="A186" i="8"/>
  <c r="C186" i="8" s="1"/>
  <c r="D185" i="8"/>
  <c r="B74" i="7"/>
  <c r="C75" i="7"/>
  <c r="E187" i="6"/>
  <c r="F187" i="6" s="1"/>
  <c r="D188" i="6"/>
  <c r="D186" i="8" l="1"/>
  <c r="G187" i="6"/>
  <c r="B187" i="8" s="1"/>
  <c r="A187" i="8"/>
  <c r="C187" i="8" s="1"/>
  <c r="B73" i="7"/>
  <c r="C74" i="7"/>
  <c r="E188" i="6"/>
  <c r="F188" i="6" s="1"/>
  <c r="D189" i="6"/>
  <c r="D187" i="8" l="1"/>
  <c r="G188" i="6"/>
  <c r="B188" i="8" s="1"/>
  <c r="A188" i="8"/>
  <c r="C188" i="8" s="1"/>
  <c r="C73" i="7"/>
  <c r="B72" i="7"/>
  <c r="D190" i="6"/>
  <c r="E189" i="6"/>
  <c r="F189" i="6" s="1"/>
  <c r="D188" i="8" l="1"/>
  <c r="G189" i="6"/>
  <c r="B189" i="8" s="1"/>
  <c r="A189" i="8"/>
  <c r="C189" i="8" s="1"/>
  <c r="D189" i="8" s="1"/>
  <c r="C72" i="7"/>
  <c r="B71" i="7"/>
  <c r="D191" i="6"/>
  <c r="E190" i="6"/>
  <c r="F190" i="6" s="1"/>
  <c r="G190" i="6" l="1"/>
  <c r="B190" i="8" s="1"/>
  <c r="A190" i="8"/>
  <c r="C190" i="8" s="1"/>
  <c r="C71" i="7"/>
  <c r="B70" i="7"/>
  <c r="D192" i="6"/>
  <c r="E192" i="6" s="1"/>
  <c r="F192" i="6" s="1"/>
  <c r="E191" i="6"/>
  <c r="F191" i="6" s="1"/>
  <c r="D190" i="8" l="1"/>
  <c r="G192" i="6"/>
  <c r="B192" i="8" s="1"/>
  <c r="A192" i="8"/>
  <c r="C192" i="8" s="1"/>
  <c r="G191" i="6"/>
  <c r="B191" i="8" s="1"/>
  <c r="A191" i="8"/>
  <c r="C191" i="8" s="1"/>
  <c r="C70" i="7"/>
  <c r="B69" i="7"/>
  <c r="D192" i="8" l="1"/>
  <c r="D191" i="8"/>
  <c r="C69" i="7"/>
  <c r="B68" i="7"/>
  <c r="B67" i="7" l="1"/>
  <c r="C68" i="7"/>
  <c r="B66" i="7" l="1"/>
  <c r="C67" i="7"/>
  <c r="B65" i="7" l="1"/>
  <c r="C66" i="7"/>
  <c r="C65" i="7" l="1"/>
  <c r="B64" i="7"/>
  <c r="C64" i="7" l="1"/>
  <c r="B63" i="7"/>
  <c r="C63" i="7" l="1"/>
  <c r="B62" i="7"/>
  <c r="B61" i="7" l="1"/>
  <c r="C62" i="7"/>
  <c r="C61" i="7" l="1"/>
  <c r="B60" i="7"/>
  <c r="C60" i="7" l="1"/>
  <c r="B59" i="7"/>
  <c r="B58" i="7" l="1"/>
  <c r="C59" i="7"/>
  <c r="B57" i="7" l="1"/>
  <c r="C58" i="7"/>
  <c r="C57" i="7" l="1"/>
  <c r="B56" i="7"/>
  <c r="C56" i="7" l="1"/>
  <c r="B55" i="7"/>
  <c r="B54" i="7" l="1"/>
  <c r="C55" i="7"/>
  <c r="C54" i="7" l="1"/>
  <c r="B53" i="7"/>
  <c r="C53" i="7" l="1"/>
  <c r="B52" i="7"/>
  <c r="C52" i="7" l="1"/>
  <c r="B51" i="7"/>
  <c r="B50" i="7" l="1"/>
  <c r="C51" i="7"/>
  <c r="B49" i="7" l="1"/>
  <c r="C50" i="7"/>
  <c r="C49" i="7" l="1"/>
  <c r="B48" i="7"/>
  <c r="C48" i="7" l="1"/>
  <c r="B47" i="7"/>
  <c r="C47" i="7" l="1"/>
  <c r="B46" i="7"/>
  <c r="C46" i="7" l="1"/>
  <c r="B45" i="7"/>
  <c r="C45" i="7" l="1"/>
  <c r="B44" i="7"/>
  <c r="B43" i="7" l="1"/>
  <c r="C44" i="7"/>
  <c r="B42" i="7" l="1"/>
  <c r="C43" i="7"/>
  <c r="C42" i="7" l="1"/>
  <c r="B41" i="7"/>
  <c r="C41" i="7" l="1"/>
  <c r="B40" i="7"/>
  <c r="C40" i="7" l="1"/>
  <c r="B39" i="7"/>
  <c r="B38" i="7" l="1"/>
  <c r="C39" i="7"/>
  <c r="C38" i="7" l="1"/>
  <c r="B37" i="7"/>
  <c r="C37" i="7" l="1"/>
  <c r="B36" i="7"/>
  <c r="B35" i="7" l="1"/>
  <c r="C36" i="7"/>
  <c r="B34" i="7" l="1"/>
  <c r="C35" i="7"/>
  <c r="B33" i="7" l="1"/>
  <c r="C34" i="7"/>
  <c r="C33" i="7" l="1"/>
  <c r="B32" i="7"/>
  <c r="B31" i="7" l="1"/>
  <c r="C32" i="7"/>
  <c r="B30" i="7" l="1"/>
  <c r="C31" i="7"/>
  <c r="C30" i="7" l="1"/>
  <c r="B29" i="7"/>
  <c r="C29" i="7" l="1"/>
  <c r="B28" i="7"/>
  <c r="C28" i="7" l="1"/>
  <c r="B27" i="7"/>
  <c r="B26" i="7" l="1"/>
  <c r="C27" i="7"/>
  <c r="C26" i="7" l="1"/>
  <c r="B25" i="7"/>
  <c r="C25" i="7" l="1"/>
  <c r="B24" i="7"/>
  <c r="C24" i="7" l="1"/>
  <c r="B23" i="7"/>
  <c r="B22" i="7" l="1"/>
  <c r="C23" i="7"/>
  <c r="C22" i="7" l="1"/>
  <c r="B21" i="7"/>
  <c r="C21" i="7" l="1"/>
  <c r="B20" i="7"/>
  <c r="B19" i="7" l="1"/>
  <c r="C20" i="7"/>
  <c r="B18" i="7" l="1"/>
  <c r="C19" i="7"/>
  <c r="C18" i="7" l="1"/>
  <c r="B17" i="7"/>
  <c r="C17" i="7" l="1"/>
  <c r="B16" i="7"/>
  <c r="C16" i="7" l="1"/>
  <c r="B15" i="7"/>
  <c r="B14" i="7" l="1"/>
  <c r="C15" i="7"/>
  <c r="C14" i="7" l="1"/>
  <c r="B13" i="7"/>
  <c r="C13" i="7" l="1"/>
  <c r="B12" i="7"/>
  <c r="C12" i="7" l="1"/>
  <c r="B11" i="7"/>
  <c r="B10" i="7" l="1"/>
  <c r="C11" i="7"/>
  <c r="B9" i="7" l="1"/>
  <c r="C10" i="7"/>
  <c r="C9" i="7" l="1"/>
  <c r="B8" i="7"/>
  <c r="B7" i="7" l="1"/>
  <c r="C8" i="7"/>
  <c r="B6" i="7" l="1"/>
  <c r="C7" i="7"/>
  <c r="C6" i="7" l="1"/>
  <c r="B5" i="7"/>
  <c r="C5" i="7" l="1"/>
  <c r="B4" i="7"/>
  <c r="C4" i="7" l="1"/>
  <c r="B3" i="7"/>
  <c r="B2" i="7" l="1"/>
  <c r="C2" i="7" s="1"/>
  <c r="C3" i="7"/>
</calcChain>
</file>

<file path=xl/sharedStrings.xml><?xml version="1.0" encoding="utf-8"?>
<sst xmlns="http://schemas.openxmlformats.org/spreadsheetml/2006/main" count="58" uniqueCount="51">
  <si>
    <t>Real</t>
  </si>
  <si>
    <t>Adjusted</t>
  </si>
  <si>
    <t>Offset</t>
  </si>
  <si>
    <t>Temperature</t>
  </si>
  <si>
    <t>Pos</t>
  </si>
  <si>
    <t>Temp C</t>
  </si>
  <si>
    <t>Resistance</t>
  </si>
  <si>
    <t>Temp K</t>
  </si>
  <si>
    <t>LnR</t>
  </si>
  <si>
    <t>Low</t>
  </si>
  <si>
    <t>Mid</t>
  </si>
  <si>
    <t>High</t>
  </si>
  <si>
    <t>Ln(R1) - Ln(R2)</t>
  </si>
  <si>
    <t>Ln(R1) - Ln(R3)</t>
  </si>
  <si>
    <t>(1/T1) - (1/T2)</t>
  </si>
  <si>
    <t>(1/T1) - (1/T3)</t>
  </si>
  <si>
    <t>Coefficients</t>
  </si>
  <si>
    <t>a=</t>
  </si>
  <si>
    <t>b=</t>
  </si>
  <si>
    <t>c=</t>
  </si>
  <si>
    <t>Solving For T, given R:</t>
  </si>
  <si>
    <t>Temp C=</t>
  </si>
  <si>
    <t>Ohms=</t>
  </si>
  <si>
    <t>Target Temp.</t>
  </si>
  <si>
    <t>Output Temp.</t>
  </si>
  <si>
    <t>Measured Res.</t>
  </si>
  <si>
    <t>Measured Temp.</t>
  </si>
  <si>
    <t>Delta Target-Output Temp.</t>
  </si>
  <si>
    <t>Delta Measured-Output Temp.</t>
  </si>
  <si>
    <t>Delta Target-Measured Temp.</t>
  </si>
  <si>
    <t>Solving for R, given T:</t>
  </si>
  <si>
    <t>dR/dT</t>
  </si>
  <si>
    <t>%dR/dT</t>
  </si>
  <si>
    <t>alpha</t>
  </si>
  <si>
    <t>beta</t>
  </si>
  <si>
    <t>Degrees C=</t>
  </si>
  <si>
    <t>k Ohm</t>
  </si>
  <si>
    <t>Ohm</t>
  </si>
  <si>
    <t>Calculated Resistance</t>
  </si>
  <si>
    <t>Calculated Temp</t>
  </si>
  <si>
    <t>Parallel Resistor</t>
  </si>
  <si>
    <t>R</t>
  </si>
  <si>
    <t>Ts</t>
  </si>
  <si>
    <t>Tm</t>
  </si>
  <si>
    <t>Td</t>
  </si>
  <si>
    <t>Pre-Resist</t>
  </si>
  <si>
    <t>Steps</t>
  </si>
  <si>
    <t>Pos:</t>
  </si>
  <si>
    <t>Step Res.:</t>
  </si>
  <si>
    <t>Step</t>
  </si>
  <si>
    <t>Pre-Resistor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</si>
</sst>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0"/>
    <numFmt numFmtId="165" formatCode="0.00000000"/>
    <numFmt numFmtId="166" formatCode="0.00_)"/>
    <numFmt numFmtId="167" formatCode="0.000000000"/>
    <numFmt numFmtId="168" formatCode="0.00000000E+00_)"/>
    <numFmt numFmtId="169" formatCode="0.00000"/>
    <numFmt numFmtId="170" formatCode="0.000"/>
    <numFmt numFmtId="171" formatCode="0.0"/>
    <numFmt numFmtId="172" formatCode="0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i/>
      <u val="double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2" borderId="5" xfId="0" applyFill="1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0" fontId="0" fillId="2" borderId="8" xfId="0" applyFill="1" applyBorder="1"/>
    <xf numFmtId="0" fontId="0" fillId="0" borderId="8" xfId="0" applyBorder="1"/>
    <xf numFmtId="164" fontId="0" fillId="0" borderId="9" xfId="0" applyNumberFormat="1" applyBorder="1"/>
    <xf numFmtId="0" fontId="0" fillId="0" borderId="1" xfId="0" applyBorder="1"/>
    <xf numFmtId="165" fontId="0" fillId="0" borderId="3" xfId="0" applyNumberFormat="1" applyBorder="1"/>
    <xf numFmtId="165" fontId="0" fillId="0" borderId="6" xfId="0" applyNumberFormat="1" applyBorder="1"/>
    <xf numFmtId="166" fontId="0" fillId="0" borderId="0" xfId="0" applyNumberFormat="1"/>
    <xf numFmtId="39" fontId="0" fillId="0" borderId="0" xfId="0" applyNumberFormat="1"/>
    <xf numFmtId="165" fontId="0" fillId="0" borderId="9" xfId="0" applyNumberFormat="1" applyBorder="1"/>
    <xf numFmtId="165" fontId="0" fillId="0" borderId="0" xfId="0" applyNumberFormat="1"/>
    <xf numFmtId="0" fontId="0" fillId="0" borderId="12" xfId="0" applyBorder="1"/>
    <xf numFmtId="167" fontId="0" fillId="0" borderId="13" xfId="0" applyNumberFormat="1" applyBorder="1"/>
    <xf numFmtId="168" fontId="0" fillId="0" borderId="0" xfId="0" applyNumberFormat="1"/>
    <xf numFmtId="167" fontId="0" fillId="0" borderId="6" xfId="0" applyNumberFormat="1" applyBorder="1"/>
    <xf numFmtId="167" fontId="0" fillId="0" borderId="9" xfId="0" applyNumberFormat="1" applyBorder="1"/>
    <xf numFmtId="0" fontId="2" fillId="0" borderId="14" xfId="0" applyFont="1" applyBorder="1"/>
    <xf numFmtId="0" fontId="3" fillId="0" borderId="15" xfId="0" applyFont="1" applyBorder="1"/>
    <xf numFmtId="0" fontId="1" fillId="0" borderId="12" xfId="0" applyFont="1" applyBorder="1"/>
    <xf numFmtId="0" fontId="0" fillId="2" borderId="17" xfId="0" applyFill="1" applyBorder="1"/>
    <xf numFmtId="2" fontId="4" fillId="0" borderId="17" xfId="0" applyNumberFormat="1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3" xfId="0" applyBorder="1"/>
    <xf numFmtId="2" fontId="0" fillId="0" borderId="5" xfId="0" applyNumberFormat="1" applyBorder="1"/>
    <xf numFmtId="0" fontId="0" fillId="0" borderId="6" xfId="0" applyBorder="1"/>
    <xf numFmtId="2" fontId="0" fillId="0" borderId="8" xfId="0" applyNumberFormat="1" applyBorder="1"/>
    <xf numFmtId="0" fontId="0" fillId="0" borderId="9" xfId="0" applyBorder="1"/>
    <xf numFmtId="171" fontId="0" fillId="0" borderId="0" xfId="0" applyNumberFormat="1"/>
    <xf numFmtId="0" fontId="2" fillId="0" borderId="15" xfId="0" applyFont="1" applyBorder="1"/>
    <xf numFmtId="166" fontId="3" fillId="0" borderId="15" xfId="0" applyNumberFormat="1" applyFont="1" applyBorder="1"/>
    <xf numFmtId="39" fontId="3" fillId="0" borderId="16" xfId="0" applyNumberFormat="1" applyFont="1" applyBorder="1"/>
    <xf numFmtId="2" fontId="0" fillId="0" borderId="17" xfId="0" applyNumberFormat="1" applyBorder="1"/>
    <xf numFmtId="169" fontId="0" fillId="0" borderId="17" xfId="0" applyNumberFormat="1" applyBorder="1"/>
    <xf numFmtId="169" fontId="0" fillId="0" borderId="13" xfId="0" applyNumberFormat="1" applyBorder="1"/>
    <xf numFmtId="0" fontId="1" fillId="0" borderId="7" xfId="0" applyFont="1" applyBorder="1"/>
    <xf numFmtId="49" fontId="0" fillId="0" borderId="9" xfId="0" applyNumberFormat="1" applyBorder="1"/>
    <xf numFmtId="172" fontId="0" fillId="0" borderId="0" xfId="0" applyNumberFormat="1"/>
    <xf numFmtId="170" fontId="0" fillId="0" borderId="17" xfId="0" applyNumberFormat="1" applyBorder="1"/>
    <xf numFmtId="170" fontId="0" fillId="0" borderId="5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70" fontId="0" fillId="0" borderId="23" xfId="0" applyNumberFormat="1" applyBorder="1"/>
    <xf numFmtId="0" fontId="0" fillId="0" borderId="24" xfId="0" applyBorder="1"/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0" fillId="2" borderId="0" xfId="0" applyFill="1" applyAlignment="1">
      <alignment horizontal="center" vertical="center"/>
    </xf>
    <xf numFmtId="1" fontId="0" fillId="2" borderId="0" xfId="0" applyNumberFormat="1" applyFill="1"/>
    <xf numFmtId="1" fontId="5" fillId="0" borderId="0" xfId="0" applyNumberFormat="1" applyFont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0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Target to measured delta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'Temperature Output'!$A$2:$A$252</c:f>
              <c:numCache>
                <c:formatCode>0.00</c:formatCode>
                <c:ptCount val="251"/>
                <c:pt idx="0">
                  <c:v>30</c:v>
                </c:pt>
                <c:pt idx="1">
                  <c:v>29.8</c:v>
                </c:pt>
                <c:pt idx="2">
                  <c:v>29.6</c:v>
                </c:pt>
                <c:pt idx="3">
                  <c:v>29.4</c:v>
                </c:pt>
                <c:pt idx="4">
                  <c:v>29.2</c:v>
                </c:pt>
                <c:pt idx="5">
                  <c:v>29</c:v>
                </c:pt>
                <c:pt idx="6">
                  <c:v>28.8</c:v>
                </c:pt>
                <c:pt idx="7">
                  <c:v>28.6</c:v>
                </c:pt>
                <c:pt idx="8">
                  <c:v>28.4</c:v>
                </c:pt>
                <c:pt idx="9">
                  <c:v>28.2</c:v>
                </c:pt>
                <c:pt idx="10">
                  <c:v>28</c:v>
                </c:pt>
                <c:pt idx="11">
                  <c:v>27.8</c:v>
                </c:pt>
                <c:pt idx="12">
                  <c:v>27.6</c:v>
                </c:pt>
                <c:pt idx="13">
                  <c:v>27.4</c:v>
                </c:pt>
                <c:pt idx="14">
                  <c:v>27.2</c:v>
                </c:pt>
                <c:pt idx="15">
                  <c:v>27</c:v>
                </c:pt>
                <c:pt idx="16">
                  <c:v>26.8</c:v>
                </c:pt>
                <c:pt idx="17">
                  <c:v>26.6</c:v>
                </c:pt>
                <c:pt idx="18">
                  <c:v>26.4</c:v>
                </c:pt>
                <c:pt idx="19">
                  <c:v>26.2</c:v>
                </c:pt>
                <c:pt idx="20">
                  <c:v>26</c:v>
                </c:pt>
                <c:pt idx="21">
                  <c:v>25.8</c:v>
                </c:pt>
                <c:pt idx="22">
                  <c:v>25.6</c:v>
                </c:pt>
                <c:pt idx="23">
                  <c:v>25.4</c:v>
                </c:pt>
                <c:pt idx="24">
                  <c:v>25.2</c:v>
                </c:pt>
                <c:pt idx="25">
                  <c:v>25</c:v>
                </c:pt>
                <c:pt idx="26">
                  <c:v>24.8</c:v>
                </c:pt>
                <c:pt idx="27">
                  <c:v>24.6</c:v>
                </c:pt>
                <c:pt idx="28">
                  <c:v>24.4</c:v>
                </c:pt>
                <c:pt idx="29">
                  <c:v>24.2</c:v>
                </c:pt>
                <c:pt idx="30">
                  <c:v>24</c:v>
                </c:pt>
                <c:pt idx="31">
                  <c:v>23.8</c:v>
                </c:pt>
                <c:pt idx="32">
                  <c:v>23.6</c:v>
                </c:pt>
                <c:pt idx="33">
                  <c:v>23.4</c:v>
                </c:pt>
                <c:pt idx="34">
                  <c:v>23.2</c:v>
                </c:pt>
                <c:pt idx="35">
                  <c:v>23</c:v>
                </c:pt>
                <c:pt idx="36">
                  <c:v>22.8</c:v>
                </c:pt>
                <c:pt idx="37">
                  <c:v>22.6</c:v>
                </c:pt>
                <c:pt idx="38">
                  <c:v>22.4</c:v>
                </c:pt>
                <c:pt idx="39">
                  <c:v>22.2</c:v>
                </c:pt>
                <c:pt idx="40">
                  <c:v>22</c:v>
                </c:pt>
                <c:pt idx="41">
                  <c:v>21.8</c:v>
                </c:pt>
                <c:pt idx="42">
                  <c:v>21.6</c:v>
                </c:pt>
                <c:pt idx="43">
                  <c:v>21.4</c:v>
                </c:pt>
                <c:pt idx="44">
                  <c:v>21.2</c:v>
                </c:pt>
                <c:pt idx="45">
                  <c:v>21</c:v>
                </c:pt>
                <c:pt idx="46">
                  <c:v>20.8</c:v>
                </c:pt>
                <c:pt idx="47">
                  <c:v>20.6</c:v>
                </c:pt>
                <c:pt idx="48">
                  <c:v>20.399999999999999</c:v>
                </c:pt>
                <c:pt idx="49">
                  <c:v>20.2</c:v>
                </c:pt>
                <c:pt idx="50">
                  <c:v>20</c:v>
                </c:pt>
                <c:pt idx="51">
                  <c:v>19.8</c:v>
                </c:pt>
                <c:pt idx="52">
                  <c:v>19.600000000000001</c:v>
                </c:pt>
                <c:pt idx="53">
                  <c:v>19.399999999999999</c:v>
                </c:pt>
                <c:pt idx="54">
                  <c:v>19.2</c:v>
                </c:pt>
                <c:pt idx="55">
                  <c:v>19</c:v>
                </c:pt>
                <c:pt idx="56">
                  <c:v>18.8</c:v>
                </c:pt>
                <c:pt idx="57">
                  <c:v>18.600000000000001</c:v>
                </c:pt>
                <c:pt idx="58">
                  <c:v>18.399999999999999</c:v>
                </c:pt>
                <c:pt idx="59">
                  <c:v>18.2</c:v>
                </c:pt>
                <c:pt idx="60">
                  <c:v>18</c:v>
                </c:pt>
                <c:pt idx="61">
                  <c:v>17.8</c:v>
                </c:pt>
                <c:pt idx="62">
                  <c:v>17.600000000000001</c:v>
                </c:pt>
                <c:pt idx="63">
                  <c:v>17.399999999999999</c:v>
                </c:pt>
                <c:pt idx="64">
                  <c:v>17.2</c:v>
                </c:pt>
                <c:pt idx="65">
                  <c:v>17</c:v>
                </c:pt>
                <c:pt idx="66">
                  <c:v>16.8</c:v>
                </c:pt>
                <c:pt idx="67">
                  <c:v>16.600000000000001</c:v>
                </c:pt>
                <c:pt idx="68">
                  <c:v>16.399999999999999</c:v>
                </c:pt>
                <c:pt idx="69">
                  <c:v>16.2</c:v>
                </c:pt>
                <c:pt idx="70">
                  <c:v>16</c:v>
                </c:pt>
                <c:pt idx="71">
                  <c:v>15.8000000000001</c:v>
                </c:pt>
                <c:pt idx="72">
                  <c:v>15.600000000000099</c:v>
                </c:pt>
                <c:pt idx="73">
                  <c:v>15.4000000000001</c:v>
                </c:pt>
                <c:pt idx="74">
                  <c:v>15.200000000000101</c:v>
                </c:pt>
                <c:pt idx="75">
                  <c:v>15.000000000000099</c:v>
                </c:pt>
                <c:pt idx="76">
                  <c:v>14.8000000000001</c:v>
                </c:pt>
                <c:pt idx="77">
                  <c:v>14.600000000000099</c:v>
                </c:pt>
                <c:pt idx="78">
                  <c:v>14.4000000000001</c:v>
                </c:pt>
                <c:pt idx="79">
                  <c:v>14.200000000000101</c:v>
                </c:pt>
                <c:pt idx="80">
                  <c:v>14.000000000000099</c:v>
                </c:pt>
                <c:pt idx="81">
                  <c:v>13.8000000000001</c:v>
                </c:pt>
                <c:pt idx="82">
                  <c:v>13.600000000000099</c:v>
                </c:pt>
                <c:pt idx="83">
                  <c:v>13.4000000000001</c:v>
                </c:pt>
                <c:pt idx="84">
                  <c:v>13.200000000000101</c:v>
                </c:pt>
                <c:pt idx="85">
                  <c:v>13.000000000000099</c:v>
                </c:pt>
                <c:pt idx="86">
                  <c:v>12.8000000000001</c:v>
                </c:pt>
                <c:pt idx="87">
                  <c:v>12.600000000000099</c:v>
                </c:pt>
                <c:pt idx="88">
                  <c:v>12.4000000000001</c:v>
                </c:pt>
                <c:pt idx="89">
                  <c:v>12.200000000000101</c:v>
                </c:pt>
                <c:pt idx="90">
                  <c:v>12.000000000000099</c:v>
                </c:pt>
                <c:pt idx="91">
                  <c:v>11.8000000000001</c:v>
                </c:pt>
                <c:pt idx="92">
                  <c:v>11.600000000000099</c:v>
                </c:pt>
                <c:pt idx="93">
                  <c:v>11.4000000000001</c:v>
                </c:pt>
                <c:pt idx="94">
                  <c:v>11.200000000000101</c:v>
                </c:pt>
                <c:pt idx="95">
                  <c:v>11.000000000000099</c:v>
                </c:pt>
                <c:pt idx="96">
                  <c:v>10.8000000000001</c:v>
                </c:pt>
                <c:pt idx="97">
                  <c:v>10.600000000000099</c:v>
                </c:pt>
                <c:pt idx="98">
                  <c:v>10.4000000000001</c:v>
                </c:pt>
                <c:pt idx="99">
                  <c:v>10.200000000000101</c:v>
                </c:pt>
                <c:pt idx="100">
                  <c:v>10.000000000000099</c:v>
                </c:pt>
                <c:pt idx="101">
                  <c:v>9.8000000000001002</c:v>
                </c:pt>
                <c:pt idx="102">
                  <c:v>9.6000000000000991</c:v>
                </c:pt>
                <c:pt idx="103">
                  <c:v>9.4000000000000998</c:v>
                </c:pt>
                <c:pt idx="104">
                  <c:v>9.2000000000001005</c:v>
                </c:pt>
                <c:pt idx="105">
                  <c:v>9.0000000000000995</c:v>
                </c:pt>
                <c:pt idx="106">
                  <c:v>8.8000000000001002</c:v>
                </c:pt>
                <c:pt idx="107">
                  <c:v>8.6000000000000991</c:v>
                </c:pt>
                <c:pt idx="108">
                  <c:v>8.4000000000000998</c:v>
                </c:pt>
                <c:pt idx="109">
                  <c:v>8.2000000000001005</c:v>
                </c:pt>
                <c:pt idx="110">
                  <c:v>8.0000000000000995</c:v>
                </c:pt>
                <c:pt idx="111">
                  <c:v>7.8000000000001002</c:v>
                </c:pt>
                <c:pt idx="112">
                  <c:v>7.6000000000001</c:v>
                </c:pt>
                <c:pt idx="113">
                  <c:v>7.4000000000000998</c:v>
                </c:pt>
                <c:pt idx="114">
                  <c:v>7.2000000000000997</c:v>
                </c:pt>
                <c:pt idx="115">
                  <c:v>7.0000000000001004</c:v>
                </c:pt>
                <c:pt idx="116">
                  <c:v>6.8000000000001002</c:v>
                </c:pt>
                <c:pt idx="117">
                  <c:v>6.6000000000001</c:v>
                </c:pt>
                <c:pt idx="118">
                  <c:v>6.4000000000000998</c:v>
                </c:pt>
                <c:pt idx="119">
                  <c:v>6.2000000000000997</c:v>
                </c:pt>
                <c:pt idx="120">
                  <c:v>6.0000000000001004</c:v>
                </c:pt>
                <c:pt idx="121">
                  <c:v>5.8000000000001002</c:v>
                </c:pt>
                <c:pt idx="122">
                  <c:v>5.6000000000001</c:v>
                </c:pt>
                <c:pt idx="123">
                  <c:v>5.4000000000000998</c:v>
                </c:pt>
                <c:pt idx="124">
                  <c:v>5.2000000000000997</c:v>
                </c:pt>
                <c:pt idx="125">
                  <c:v>5.0000000000001004</c:v>
                </c:pt>
                <c:pt idx="126">
                  <c:v>4.8000000000001002</c:v>
                </c:pt>
                <c:pt idx="127">
                  <c:v>4.6000000000001</c:v>
                </c:pt>
                <c:pt idx="128">
                  <c:v>4.4000000000000998</c:v>
                </c:pt>
                <c:pt idx="129">
                  <c:v>4.2000000000000997</c:v>
                </c:pt>
                <c:pt idx="130">
                  <c:v>4.0000000000001004</c:v>
                </c:pt>
                <c:pt idx="131">
                  <c:v>3.8000000000001002</c:v>
                </c:pt>
                <c:pt idx="132">
                  <c:v>3.6000000000001</c:v>
                </c:pt>
                <c:pt idx="133">
                  <c:v>3.4000000000000998</c:v>
                </c:pt>
                <c:pt idx="134">
                  <c:v>3.2000000000001001</c:v>
                </c:pt>
                <c:pt idx="135">
                  <c:v>3.0000000000000999</c:v>
                </c:pt>
                <c:pt idx="136">
                  <c:v>2.8000000000001002</c:v>
                </c:pt>
                <c:pt idx="137">
                  <c:v>2.6000000000001</c:v>
                </c:pt>
                <c:pt idx="138">
                  <c:v>2.4000000000000998</c:v>
                </c:pt>
                <c:pt idx="139">
                  <c:v>2.2000000000001001</c:v>
                </c:pt>
                <c:pt idx="140">
                  <c:v>2.0000000000000999</c:v>
                </c:pt>
                <c:pt idx="141">
                  <c:v>1.8000000000001</c:v>
                </c:pt>
                <c:pt idx="142">
                  <c:v>1.6000000000001</c:v>
                </c:pt>
                <c:pt idx="143">
                  <c:v>1.4000000000001001</c:v>
                </c:pt>
                <c:pt idx="144">
                  <c:v>1.2000000000001001</c:v>
                </c:pt>
                <c:pt idx="145">
                  <c:v>1.0000000000000999</c:v>
                </c:pt>
                <c:pt idx="146">
                  <c:v>0.80000000000009996</c:v>
                </c:pt>
                <c:pt idx="147">
                  <c:v>0.60000000000010101</c:v>
                </c:pt>
                <c:pt idx="148">
                  <c:v>0.400000000000102</c:v>
                </c:pt>
                <c:pt idx="149">
                  <c:v>0.20000000000009899</c:v>
                </c:pt>
                <c:pt idx="150">
                  <c:v>9.9475983006414001E-14</c:v>
                </c:pt>
                <c:pt idx="151">
                  <c:v>-0.19999999999990001</c:v>
                </c:pt>
                <c:pt idx="152">
                  <c:v>-0.39999999999989899</c:v>
                </c:pt>
                <c:pt idx="153">
                  <c:v>-0.59999999999989795</c:v>
                </c:pt>
                <c:pt idx="154">
                  <c:v>-0.79999999999990101</c:v>
                </c:pt>
                <c:pt idx="155">
                  <c:v>-0.99999999999990097</c:v>
                </c:pt>
                <c:pt idx="156">
                  <c:v>-1.1999999999999</c:v>
                </c:pt>
                <c:pt idx="157">
                  <c:v>-1.3999999999999</c:v>
                </c:pt>
                <c:pt idx="158">
                  <c:v>-1.5999999999998999</c:v>
                </c:pt>
                <c:pt idx="159">
                  <c:v>-1.7999999999998999</c:v>
                </c:pt>
                <c:pt idx="160">
                  <c:v>-1.9999999999999001</c:v>
                </c:pt>
                <c:pt idx="161">
                  <c:v>-2.1999999999998998</c:v>
                </c:pt>
                <c:pt idx="162">
                  <c:v>-2.3999999999999</c:v>
                </c:pt>
                <c:pt idx="163">
                  <c:v>-2.5999999999999002</c:v>
                </c:pt>
                <c:pt idx="164">
                  <c:v>-2.7999999999998999</c:v>
                </c:pt>
                <c:pt idx="165">
                  <c:v>-2.9999999999999001</c:v>
                </c:pt>
                <c:pt idx="166">
                  <c:v>-3.1999999999998998</c:v>
                </c:pt>
                <c:pt idx="167">
                  <c:v>-3.3999999999999</c:v>
                </c:pt>
                <c:pt idx="168">
                  <c:v>-3.5999999999999002</c:v>
                </c:pt>
                <c:pt idx="169">
                  <c:v>-3.7999999999998999</c:v>
                </c:pt>
                <c:pt idx="170">
                  <c:v>-3.9999999999999001</c:v>
                </c:pt>
                <c:pt idx="171">
                  <c:v>-4.1999999999998998</c:v>
                </c:pt>
                <c:pt idx="172">
                  <c:v>-4.3999999999999</c:v>
                </c:pt>
                <c:pt idx="173">
                  <c:v>-4.5999999999999002</c:v>
                </c:pt>
                <c:pt idx="174">
                  <c:v>-4.7999999999999003</c:v>
                </c:pt>
                <c:pt idx="175">
                  <c:v>-4.9999999999998996</c:v>
                </c:pt>
                <c:pt idx="176">
                  <c:v>-5.1999999999998998</c:v>
                </c:pt>
                <c:pt idx="177">
                  <c:v>-5.3999999999999</c:v>
                </c:pt>
                <c:pt idx="178">
                  <c:v>-5.5999999999999002</c:v>
                </c:pt>
                <c:pt idx="179">
                  <c:v>-5.7999999999999003</c:v>
                </c:pt>
                <c:pt idx="180">
                  <c:v>-5.9999999999998996</c:v>
                </c:pt>
                <c:pt idx="181">
                  <c:v>-6.1999999999998998</c:v>
                </c:pt>
                <c:pt idx="182">
                  <c:v>-6.3999999999999</c:v>
                </c:pt>
                <c:pt idx="183">
                  <c:v>-6.5999999999999002</c:v>
                </c:pt>
                <c:pt idx="184">
                  <c:v>-6.7999999999999003</c:v>
                </c:pt>
                <c:pt idx="185">
                  <c:v>-6.9999999999998996</c:v>
                </c:pt>
                <c:pt idx="186">
                  <c:v>-7.1999999999998998</c:v>
                </c:pt>
                <c:pt idx="187">
                  <c:v>-7.3999999999999</c:v>
                </c:pt>
                <c:pt idx="188">
                  <c:v>-7.5999999999999002</c:v>
                </c:pt>
                <c:pt idx="189">
                  <c:v>-7.7999999999999003</c:v>
                </c:pt>
                <c:pt idx="190">
                  <c:v>-7.9999999999998996</c:v>
                </c:pt>
                <c:pt idx="191">
                  <c:v>-8.1999999999998998</c:v>
                </c:pt>
                <c:pt idx="192">
                  <c:v>-8.3999999999999009</c:v>
                </c:pt>
                <c:pt idx="193">
                  <c:v>-8.5999999999999002</c:v>
                </c:pt>
                <c:pt idx="194">
                  <c:v>-8.7999999999998995</c:v>
                </c:pt>
                <c:pt idx="195">
                  <c:v>-8.9999999999999005</c:v>
                </c:pt>
                <c:pt idx="196">
                  <c:v>-9.1999999999998998</c:v>
                </c:pt>
                <c:pt idx="197">
                  <c:v>-9.3999999999999009</c:v>
                </c:pt>
                <c:pt idx="198">
                  <c:v>-9.5999999999999002</c:v>
                </c:pt>
                <c:pt idx="199">
                  <c:v>-9.7999999999998995</c:v>
                </c:pt>
                <c:pt idx="200">
                  <c:v>-9.9999999999999005</c:v>
                </c:pt>
                <c:pt idx="201">
                  <c:v>-10.1999999999999</c:v>
                </c:pt>
                <c:pt idx="202">
                  <c:v>-10.399999999999901</c:v>
                </c:pt>
                <c:pt idx="203">
                  <c:v>-10.5999999999999</c:v>
                </c:pt>
                <c:pt idx="204">
                  <c:v>-10.799999999999899</c:v>
                </c:pt>
                <c:pt idx="205">
                  <c:v>-10.999999999999901</c:v>
                </c:pt>
                <c:pt idx="206">
                  <c:v>-11.1999999999999</c:v>
                </c:pt>
                <c:pt idx="207">
                  <c:v>-11.3999999999998</c:v>
                </c:pt>
                <c:pt idx="208">
                  <c:v>-11.5999999999999</c:v>
                </c:pt>
                <c:pt idx="209">
                  <c:v>-11.799999999999899</c:v>
                </c:pt>
                <c:pt idx="210">
                  <c:v>-11.999999999999901</c:v>
                </c:pt>
                <c:pt idx="211">
                  <c:v>-12.1999999999998</c:v>
                </c:pt>
                <c:pt idx="212">
                  <c:v>-12.3999999999998</c:v>
                </c:pt>
                <c:pt idx="213">
                  <c:v>-12.5999999999999</c:v>
                </c:pt>
                <c:pt idx="214">
                  <c:v>-12.7999999999998</c:v>
                </c:pt>
                <c:pt idx="215">
                  <c:v>-12.999999999999799</c:v>
                </c:pt>
                <c:pt idx="216">
                  <c:v>-13.1999999999998</c:v>
                </c:pt>
                <c:pt idx="217">
                  <c:v>-13.3999999999998</c:v>
                </c:pt>
                <c:pt idx="218">
                  <c:v>-13.599999999999801</c:v>
                </c:pt>
                <c:pt idx="219">
                  <c:v>-13.7999999999998</c:v>
                </c:pt>
                <c:pt idx="220">
                  <c:v>-13.999999999999799</c:v>
                </c:pt>
                <c:pt idx="221">
                  <c:v>-14.1999999999998</c:v>
                </c:pt>
                <c:pt idx="222">
                  <c:v>-14.3999999999998</c:v>
                </c:pt>
                <c:pt idx="223">
                  <c:v>-14.599999999999801</c:v>
                </c:pt>
                <c:pt idx="224">
                  <c:v>-14.7999999999998</c:v>
                </c:pt>
                <c:pt idx="225">
                  <c:v>-14.999999999999799</c:v>
                </c:pt>
                <c:pt idx="226">
                  <c:v>-15.1999999999998</c:v>
                </c:pt>
                <c:pt idx="227">
                  <c:v>-15.3999999999998</c:v>
                </c:pt>
                <c:pt idx="228">
                  <c:v>-15.599999999999801</c:v>
                </c:pt>
                <c:pt idx="229">
                  <c:v>-15.7999999999998</c:v>
                </c:pt>
                <c:pt idx="230">
                  <c:v>-15.999999999999799</c:v>
                </c:pt>
                <c:pt idx="231">
                  <c:v>-16.1999999999998</c:v>
                </c:pt>
                <c:pt idx="232">
                  <c:v>-16.3999999999998</c:v>
                </c:pt>
                <c:pt idx="233">
                  <c:v>-16.599999999999799</c:v>
                </c:pt>
                <c:pt idx="234">
                  <c:v>-16.799999999999802</c:v>
                </c:pt>
                <c:pt idx="235">
                  <c:v>-16.999999999999801</c:v>
                </c:pt>
                <c:pt idx="236">
                  <c:v>-17.1999999999998</c:v>
                </c:pt>
                <c:pt idx="237">
                  <c:v>-17.3999999999998</c:v>
                </c:pt>
                <c:pt idx="238">
                  <c:v>-17.599999999999799</c:v>
                </c:pt>
                <c:pt idx="239">
                  <c:v>-17.799999999999802</c:v>
                </c:pt>
                <c:pt idx="240">
                  <c:v>-17.999999999999801</c:v>
                </c:pt>
                <c:pt idx="241">
                  <c:v>-18.1999999999998</c:v>
                </c:pt>
                <c:pt idx="242">
                  <c:v>-18.3999999999998</c:v>
                </c:pt>
                <c:pt idx="243">
                  <c:v>-18.599999999999799</c:v>
                </c:pt>
                <c:pt idx="244">
                  <c:v>-18.799999999999802</c:v>
                </c:pt>
                <c:pt idx="245">
                  <c:v>-18.999999999999801</c:v>
                </c:pt>
                <c:pt idx="246">
                  <c:v>-19.1999999999998</c:v>
                </c:pt>
                <c:pt idx="247">
                  <c:v>-19.3999999999998</c:v>
                </c:pt>
                <c:pt idx="248">
                  <c:v>-19.599999999999799</c:v>
                </c:pt>
                <c:pt idx="249">
                  <c:v>-19.799999999999802</c:v>
                </c:pt>
                <c:pt idx="250">
                  <c:v>-19.999999999999801</c:v>
                </c:pt>
              </c:numCache>
            </c:numRef>
          </c:cat>
          <c:val>
            <c:numRef>
              <c:f>'Temperature Output'!$G$2:$G$252</c:f>
              <c:numCache>
                <c:formatCode>0.00</c:formatCode>
                <c:ptCount val="251"/>
                <c:pt idx="0">
                  <c:v>0.47551583466787406</c:v>
                </c:pt>
                <c:pt idx="1">
                  <c:v>0.27551583466787477</c:v>
                </c:pt>
                <c:pt idx="2">
                  <c:v>7.5515834667875481E-2</c:v>
                </c:pt>
                <c:pt idx="3">
                  <c:v>-0.12448416533212736</c:v>
                </c:pt>
                <c:pt idx="4">
                  <c:v>0.5105511562876579</c:v>
                </c:pt>
                <c:pt idx="5">
                  <c:v>0.31055115628765861</c:v>
                </c:pt>
                <c:pt idx="6">
                  <c:v>0.11055115628765932</c:v>
                </c:pt>
                <c:pt idx="7">
                  <c:v>-8.9448843712339965E-2</c:v>
                </c:pt>
                <c:pt idx="8">
                  <c:v>-0.28944884371234281</c:v>
                </c:pt>
                <c:pt idx="9">
                  <c:v>0.34898464125019402</c:v>
                </c:pt>
                <c:pt idx="10">
                  <c:v>0.14898464125019473</c:v>
                </c:pt>
                <c:pt idx="11">
                  <c:v>-5.1015358749804562E-2</c:v>
                </c:pt>
                <c:pt idx="12">
                  <c:v>-0.25101535874980385</c:v>
                </c:pt>
                <c:pt idx="13">
                  <c:v>0.36453227114665054</c:v>
                </c:pt>
                <c:pt idx="14">
                  <c:v>0.16453227114665125</c:v>
                </c:pt>
                <c:pt idx="15">
                  <c:v>-3.5467728853348035E-2</c:v>
                </c:pt>
                <c:pt idx="16">
                  <c:v>-0.23546772885334732</c:v>
                </c:pt>
                <c:pt idx="17">
                  <c:v>0.3465500813868303</c:v>
                </c:pt>
                <c:pt idx="18">
                  <c:v>0.14655008138682746</c:v>
                </c:pt>
                <c:pt idx="19">
                  <c:v>-5.3449918613171832E-2</c:v>
                </c:pt>
                <c:pt idx="20">
                  <c:v>-0.25344991861317112</c:v>
                </c:pt>
                <c:pt idx="21">
                  <c:v>0.29740878284302497</c:v>
                </c:pt>
                <c:pt idx="22">
                  <c:v>9.7408782843025676E-2</c:v>
                </c:pt>
                <c:pt idx="23">
                  <c:v>-0.10259121715697717</c:v>
                </c:pt>
                <c:pt idx="24">
                  <c:v>0.37483022647957043</c:v>
                </c:pt>
                <c:pt idx="25">
                  <c:v>0.17483022647957114</c:v>
                </c:pt>
                <c:pt idx="26">
                  <c:v>-2.5169773520428151E-2</c:v>
                </c:pt>
                <c:pt idx="27">
                  <c:v>-0.22516977352042744</c:v>
                </c:pt>
                <c:pt idx="28">
                  <c:v>0.30322865405357646</c:v>
                </c:pt>
                <c:pt idx="29">
                  <c:v>0.10322865405357717</c:v>
                </c:pt>
                <c:pt idx="30">
                  <c:v>-9.6771345946422116E-2</c:v>
                </c:pt>
                <c:pt idx="31">
                  <c:v>0.3729262483955047</c:v>
                </c:pt>
                <c:pt idx="32">
                  <c:v>0.17292624839550541</c:v>
                </c:pt>
                <c:pt idx="33">
                  <c:v>-2.7073751604497431E-2</c:v>
                </c:pt>
                <c:pt idx="34">
                  <c:v>-0.22707375160449672</c:v>
                </c:pt>
                <c:pt idx="35">
                  <c:v>0.25581595529575907</c:v>
                </c:pt>
                <c:pt idx="36">
                  <c:v>5.5815955295759778E-2</c:v>
                </c:pt>
                <c:pt idx="37">
                  <c:v>-0.14418404470423951</c:v>
                </c:pt>
                <c:pt idx="38">
                  <c:v>0.28480439536016178</c:v>
                </c:pt>
                <c:pt idx="39">
                  <c:v>8.4804395360162488E-2</c:v>
                </c:pt>
                <c:pt idx="40">
                  <c:v>-0.1151956046398368</c:v>
                </c:pt>
                <c:pt idx="41">
                  <c:v>0.29561283570653885</c:v>
                </c:pt>
                <c:pt idx="42">
                  <c:v>9.5612835706539556E-2</c:v>
                </c:pt>
                <c:pt idx="43">
                  <c:v>-0.10438716429346329</c:v>
                </c:pt>
                <c:pt idx="44">
                  <c:v>0.28920962930608241</c:v>
                </c:pt>
                <c:pt idx="45">
                  <c:v>8.9209629306083116E-2</c:v>
                </c:pt>
                <c:pt idx="46">
                  <c:v>-0.11079037069391617</c:v>
                </c:pt>
                <c:pt idx="47">
                  <c:v>0.26648919519940506</c:v>
                </c:pt>
                <c:pt idx="48">
                  <c:v>6.6489195199402218E-2</c:v>
                </c:pt>
                <c:pt idx="49">
                  <c:v>-0.13351080480059707</c:v>
                </c:pt>
                <c:pt idx="50">
                  <c:v>0.22827928665293484</c:v>
                </c:pt>
                <c:pt idx="51">
                  <c:v>2.8279286652935554E-2</c:v>
                </c:pt>
                <c:pt idx="52">
                  <c:v>-0.17172071334706374</c:v>
                </c:pt>
                <c:pt idx="53">
                  <c:v>0.20374638197929329</c:v>
                </c:pt>
                <c:pt idx="54">
                  <c:v>3.7463819792940001E-3</c:v>
                </c:pt>
                <c:pt idx="55">
                  <c:v>-0.19625361802070529</c:v>
                </c:pt>
                <c:pt idx="56">
                  <c:v>0.10840639404669972</c:v>
                </c:pt>
                <c:pt idx="57">
                  <c:v>-9.1593605953299573E-2</c:v>
                </c:pt>
                <c:pt idx="58">
                  <c:v>-0.29159360595330241</c:v>
                </c:pt>
                <c:pt idx="59">
                  <c:v>5.5115115774423629E-2</c:v>
                </c:pt>
                <c:pt idx="60">
                  <c:v>-0.14488488422557566</c:v>
                </c:pt>
                <c:pt idx="61">
                  <c:v>0.1614470603844218</c:v>
                </c:pt>
                <c:pt idx="62">
                  <c:v>-3.8552939615577486E-2</c:v>
                </c:pt>
                <c:pt idx="63">
                  <c:v>-0.23855293961558033</c:v>
                </c:pt>
                <c:pt idx="64">
                  <c:v>5.565757731302412E-2</c:v>
                </c:pt>
                <c:pt idx="65">
                  <c:v>-0.14434242268697517</c:v>
                </c:pt>
                <c:pt idx="66">
                  <c:v>0.13828410254147983</c:v>
                </c:pt>
                <c:pt idx="67">
                  <c:v>-6.1715897458519464E-2</c:v>
                </c:pt>
                <c:pt idx="68">
                  <c:v>-0.26171589745852231</c:v>
                </c:pt>
                <c:pt idx="69">
                  <c:v>9.8297669765763374E-3</c:v>
                </c:pt>
                <c:pt idx="70">
                  <c:v>-0.19017023302342295</c:v>
                </c:pt>
                <c:pt idx="71">
                  <c:v>7.0766227272859084E-2</c:v>
                </c:pt>
                <c:pt idx="72">
                  <c:v>-0.12923377272714198</c:v>
                </c:pt>
                <c:pt idx="73">
                  <c:v>0.19180878461811268</c:v>
                </c:pt>
                <c:pt idx="74">
                  <c:v>-8.1912153818866074E-3</c:v>
                </c:pt>
                <c:pt idx="75">
                  <c:v>-0.20819121538188767</c:v>
                </c:pt>
                <c:pt idx="76">
                  <c:v>9.9862896646957466E-2</c:v>
                </c:pt>
                <c:pt idx="77">
                  <c:v>-0.1001371033530436</c:v>
                </c:pt>
                <c:pt idx="78">
                  <c:v>6.1542581361218041E-2</c:v>
                </c:pt>
                <c:pt idx="79">
                  <c:v>-0.13845741863878125</c:v>
                </c:pt>
                <c:pt idx="80">
                  <c:v>8.282620662019724E-2</c:v>
                </c:pt>
                <c:pt idx="81">
                  <c:v>-0.11717379337980205</c:v>
                </c:pt>
                <c:pt idx="82">
                  <c:v>9.5520836242561913E-2</c:v>
                </c:pt>
                <c:pt idx="83">
                  <c:v>-0.10447916375743738</c:v>
                </c:pt>
                <c:pt idx="84">
                  <c:v>0.12101482777990036</c:v>
                </c:pt>
                <c:pt idx="85">
                  <c:v>-7.8985172220100708E-2</c:v>
                </c:pt>
                <c:pt idx="86">
                  <c:v>0.11707964435825957</c:v>
                </c:pt>
                <c:pt idx="87">
                  <c:v>-8.2920355641741494E-2</c:v>
                </c:pt>
                <c:pt idx="88">
                  <c:v>0.12573095351400276</c:v>
                </c:pt>
                <c:pt idx="89">
                  <c:v>-7.4269046485996526E-2</c:v>
                </c:pt>
                <c:pt idx="90">
                  <c:v>8.6534908612279082E-2</c:v>
                </c:pt>
                <c:pt idx="91">
                  <c:v>-0.11346509138772021</c:v>
                </c:pt>
                <c:pt idx="92">
                  <c:v>7.9948987015333373E-2</c:v>
                </c:pt>
                <c:pt idx="93">
                  <c:v>-0.12005101298466592</c:v>
                </c:pt>
                <c:pt idx="94">
                  <c:v>4.6653475072046646E-2</c:v>
                </c:pt>
                <c:pt idx="95">
                  <c:v>-0.15334652492795442</c:v>
                </c:pt>
                <c:pt idx="96">
                  <c:v>6.3003238699739228E-2</c:v>
                </c:pt>
                <c:pt idx="97">
                  <c:v>-0.13699676130026184</c:v>
                </c:pt>
                <c:pt idx="98">
                  <c:v>-3.957441119910321E-2</c:v>
                </c:pt>
                <c:pt idx="99">
                  <c:v>-0.2395744111991025</c:v>
                </c:pt>
                <c:pt idx="100">
                  <c:v>-0.11021093535954662</c:v>
                </c:pt>
                <c:pt idx="101">
                  <c:v>4.9446297807069328E-2</c:v>
                </c:pt>
                <c:pt idx="102">
                  <c:v>-0.15055370219293174</c:v>
                </c:pt>
                <c:pt idx="103">
                  <c:v>3.7665685170347629E-2</c:v>
                </c:pt>
                <c:pt idx="104">
                  <c:v>-0.16233431482965166</c:v>
                </c:pt>
                <c:pt idx="105">
                  <c:v>-6.7485066190400289E-2</c:v>
                </c:pt>
                <c:pt idx="106">
                  <c:v>5.6919132933419547E-2</c:v>
                </c:pt>
                <c:pt idx="107">
                  <c:v>-0.14308086706658152</c:v>
                </c:pt>
                <c:pt idx="108">
                  <c:v>2.5986894602121779E-2</c:v>
                </c:pt>
                <c:pt idx="109">
                  <c:v>-0.17401310539787751</c:v>
                </c:pt>
                <c:pt idx="110">
                  <c:v>-0.10988700292132592</c:v>
                </c:pt>
                <c:pt idx="111">
                  <c:v>4.7576802055207423E-2</c:v>
                </c:pt>
                <c:pt idx="112">
                  <c:v>-0.15242319794479275</c:v>
                </c:pt>
                <c:pt idx="113">
                  <c:v>-6.4728210523631091E-2</c:v>
                </c:pt>
                <c:pt idx="114">
                  <c:v>3.4427066078419166E-2</c:v>
                </c:pt>
                <c:pt idx="115">
                  <c:v>-0.16557293392158012</c:v>
                </c:pt>
                <c:pt idx="116">
                  <c:v>-7.0932187978964834E-2</c:v>
                </c:pt>
                <c:pt idx="117">
                  <c:v>6.4757963333270219E-2</c:v>
                </c:pt>
                <c:pt idx="118">
                  <c:v>-0.13524203666672996</c:v>
                </c:pt>
                <c:pt idx="119">
                  <c:v>-7.9753915554593213E-2</c:v>
                </c:pt>
                <c:pt idx="120">
                  <c:v>-2.7581439453753909E-2</c:v>
                </c:pt>
                <c:pt idx="121">
                  <c:v>-0.22758143945375409</c:v>
                </c:pt>
                <c:pt idx="122">
                  <c:v>-9.1541469955736865E-2</c:v>
                </c:pt>
                <c:pt idx="123">
                  <c:v>-3.2560331387164965E-2</c:v>
                </c:pt>
                <c:pt idx="124">
                  <c:v>3.7098160676802827E-2</c:v>
                </c:pt>
                <c:pt idx="125">
                  <c:v>-0.16290183932319646</c:v>
                </c:pt>
                <c:pt idx="126">
                  <c:v>-9.6956419398704696E-2</c:v>
                </c:pt>
                <c:pt idx="127">
                  <c:v>-3.4628348898061212E-2</c:v>
                </c:pt>
                <c:pt idx="128">
                  <c:v>-0.23462834889806139</c:v>
                </c:pt>
                <c:pt idx="129">
                  <c:v>-0.175825491040146</c:v>
                </c:pt>
                <c:pt idx="130">
                  <c:v>-0.14718052971154716</c:v>
                </c:pt>
                <c:pt idx="131">
                  <c:v>-4.2107365353412973E-2</c:v>
                </c:pt>
                <c:pt idx="132">
                  <c:v>-1.9697008588345888E-2</c:v>
                </c:pt>
                <c:pt idx="133">
                  <c:v>-0.21969700858834607</c:v>
                </c:pt>
                <c:pt idx="134">
                  <c:v>-0.16130223172308655</c:v>
                </c:pt>
                <c:pt idx="135">
                  <c:v>-0.13169440324379833</c:v>
                </c:pt>
                <c:pt idx="136">
                  <c:v>-7.9770419310730034E-2</c:v>
                </c:pt>
                <c:pt idx="137">
                  <c:v>-3.1130107125115991E-2</c:v>
                </c:pt>
                <c:pt idx="138">
                  <c:v>-0.23113010712511617</c:v>
                </c:pt>
                <c:pt idx="139">
                  <c:v>-0.19789021898305004</c:v>
                </c:pt>
                <c:pt idx="140">
                  <c:v>-0.21575197330220375</c:v>
                </c:pt>
                <c:pt idx="141">
                  <c:v>-0.13982040697575493</c:v>
                </c:pt>
                <c:pt idx="142">
                  <c:v>-0.11486426492499735</c:v>
                </c:pt>
                <c:pt idx="143">
                  <c:v>-9.2546597961008947E-2</c:v>
                </c:pt>
                <c:pt idx="144">
                  <c:v>-9.5819742014102705E-2</c:v>
                </c:pt>
                <c:pt idx="145">
                  <c:v>-6.6966477042583517E-2</c:v>
                </c:pt>
                <c:pt idx="146">
                  <c:v>-4.0852927495987013E-2</c:v>
                </c:pt>
                <c:pt idx="147">
                  <c:v>-0.24085292749598597</c:v>
                </c:pt>
                <c:pt idx="148">
                  <c:v>-0.21741754957797671</c:v>
                </c:pt>
                <c:pt idx="149">
                  <c:v>-0.25156268129314063</c:v>
                </c:pt>
                <c:pt idx="150">
                  <c:v>-0.24355626459323787</c:v>
                </c:pt>
                <c:pt idx="151">
                  <c:v>-0.20554696417590554</c:v>
                </c:pt>
                <c:pt idx="152">
                  <c:v>-0.19176180331684367</c:v>
                </c:pt>
                <c:pt idx="153">
                  <c:v>-0.18038595742676788</c:v>
                </c:pt>
                <c:pt idx="154">
                  <c:v>-0.19216548329194771</c:v>
                </c:pt>
                <c:pt idx="155">
                  <c:v>-0.18522815532573178</c:v>
                </c:pt>
                <c:pt idx="156">
                  <c:v>-0.20092308904875389</c:v>
                </c:pt>
                <c:pt idx="157">
                  <c:v>-0.20833224977472131</c:v>
                </c:pt>
                <c:pt idx="158">
                  <c:v>-0.20773040494389305</c:v>
                </c:pt>
                <c:pt idx="159">
                  <c:v>-0.219138286406237</c:v>
                </c:pt>
                <c:pt idx="160">
                  <c:v>-0.27158767295880137</c:v>
                </c:pt>
                <c:pt idx="161">
                  <c:v>-0.23791502181975588</c:v>
                </c:pt>
                <c:pt idx="162">
                  <c:v>-8.3333175377085844E-2</c:v>
                </c:pt>
                <c:pt idx="163">
                  <c:v>-9.4453161385095186E-2</c:v>
                </c:pt>
                <c:pt idx="164">
                  <c:v>-9.8180783170166652E-2</c:v>
                </c:pt>
                <c:pt idx="165">
                  <c:v>-0.12237759868317211</c:v>
                </c:pt>
                <c:pt idx="166">
                  <c:v>-0.14823093114787511</c:v>
                </c:pt>
                <c:pt idx="167">
                  <c:v>-0.18475128298403209</c:v>
                </c:pt>
                <c:pt idx="168">
                  <c:v>-0.21374685915292524</c:v>
                </c:pt>
                <c:pt idx="169">
                  <c:v>-0.23544007688065216</c:v>
                </c:pt>
                <c:pt idx="170">
                  <c:v>-9.2632801106347085E-2</c:v>
                </c:pt>
                <c:pt idx="171">
                  <c:v>-0.11928317970037128</c:v>
                </c:pt>
                <c:pt idx="172">
                  <c:v>-0.1646557146846499</c:v>
                </c:pt>
                <c:pt idx="173">
                  <c:v>-0.21132080840930278</c:v>
                </c:pt>
                <c:pt idx="174">
                  <c:v>-0.24243991136927701</c:v>
                </c:pt>
                <c:pt idx="175">
                  <c:v>-0.11753712799936888</c:v>
                </c:pt>
                <c:pt idx="176">
                  <c:v>-0.16131857854091081</c:v>
                </c:pt>
                <c:pt idx="177">
                  <c:v>-0.1983090775437768</c:v>
                </c:pt>
                <c:pt idx="178">
                  <c:v>-8.4570507592038879E-2</c:v>
                </c:pt>
                <c:pt idx="179">
                  <c:v>-0.14157041874824738</c:v>
                </c:pt>
                <c:pt idx="180">
                  <c:v>-0.19183507469729388</c:v>
                </c:pt>
                <c:pt idx="181">
                  <c:v>-0.23553976356347661</c:v>
                </c:pt>
                <c:pt idx="182">
                  <c:v>-0.14989189861311392</c:v>
                </c:pt>
                <c:pt idx="183">
                  <c:v>-0.21253747733202566</c:v>
                </c:pt>
                <c:pt idx="184">
                  <c:v>-0.11098276207713109</c:v>
                </c:pt>
                <c:pt idx="185">
                  <c:v>-0.16948543882723666</c:v>
                </c:pt>
                <c:pt idx="186">
                  <c:v>-0.23644916810846084</c:v>
                </c:pt>
                <c:pt idx="187">
                  <c:v>-0.16602490870409614</c:v>
                </c:pt>
                <c:pt idx="188">
                  <c:v>-0.21432482988875812</c:v>
                </c:pt>
                <c:pt idx="189">
                  <c:v>-0.13594016344967752</c:v>
                </c:pt>
                <c:pt idx="190">
                  <c:v>-0.20889274118259404</c:v>
                </c:pt>
                <c:pt idx="191">
                  <c:v>-0.12973893170638107</c:v>
                </c:pt>
                <c:pt idx="192">
                  <c:v>-0.19864565973623804</c:v>
                </c:pt>
                <c:pt idx="193">
                  <c:v>-0.13929881096736629</c:v>
                </c:pt>
                <c:pt idx="194">
                  <c:v>-0.2042933071891202</c:v>
                </c:pt>
                <c:pt idx="195">
                  <c:v>-0.1505549942502995</c:v>
                </c:pt>
                <c:pt idx="196">
                  <c:v>-0.22502344367662985</c:v>
                </c:pt>
                <c:pt idx="197">
                  <c:v>-0.17657671270135644</c:v>
                </c:pt>
                <c:pt idx="198">
                  <c:v>-0.1315426552241572</c:v>
                </c:pt>
                <c:pt idx="199">
                  <c:v>-0.19756094375071775</c:v>
                </c:pt>
                <c:pt idx="200">
                  <c:v>-0.15138252195869484</c:v>
                </c:pt>
                <c:pt idx="201">
                  <c:v>-0.23267304450277138</c:v>
                </c:pt>
                <c:pt idx="202">
                  <c:v>-0.19760822532212252</c:v>
                </c:pt>
                <c:pt idx="203">
                  <c:v>-0.16561729573287742</c:v>
                </c:pt>
                <c:pt idx="204">
                  <c:v>-0.124654200103409</c:v>
                </c:pt>
                <c:pt idx="205">
                  <c:v>-0.21133595988182208</c:v>
                </c:pt>
                <c:pt idx="206">
                  <c:v>-0.18685555965950229</c:v>
                </c:pt>
                <c:pt idx="207">
                  <c:v>-0.16519281945146957</c:v>
                </c:pt>
                <c:pt idx="208">
                  <c:v>-0.1520074128540525</c:v>
                </c:pt>
                <c:pt idx="209">
                  <c:v>-0.24352804948699891</c:v>
                </c:pt>
                <c:pt idx="210">
                  <c:v>-0.22293271462787345</c:v>
                </c:pt>
                <c:pt idx="211">
                  <c:v>-0.21062318121071755</c:v>
                </c:pt>
                <c:pt idx="212">
                  <c:v>-0.2008495764363758</c:v>
                </c:pt>
                <c:pt idx="213">
                  <c:v>-0.19355494550744901</c:v>
                </c:pt>
                <c:pt idx="214">
                  <c:v>-0.18332510417902093</c:v>
                </c:pt>
                <c:pt idx="215">
                  <c:v>-0.18618402446187865</c:v>
                </c:pt>
                <c:pt idx="216">
                  <c:v>-0.18076575870325584</c:v>
                </c:pt>
                <c:pt idx="217">
                  <c:v>-0.17256119988297058</c:v>
                </c:pt>
                <c:pt idx="218">
                  <c:v>-0.17704293651525482</c:v>
                </c:pt>
                <c:pt idx="219">
                  <c:v>-0.17863554627747824</c:v>
                </c:pt>
                <c:pt idx="220">
                  <c:v>-0.18746745311298518</c:v>
                </c:pt>
                <c:pt idx="221">
                  <c:v>-0.1934307113024083</c:v>
                </c:pt>
                <c:pt idx="222">
                  <c:v>-0.20643240880752245</c:v>
                </c:pt>
                <c:pt idx="223">
                  <c:v>-0.21658684472317269</c:v>
                </c:pt>
                <c:pt idx="224">
                  <c:v>-0.23837979605964854</c:v>
                </c:pt>
                <c:pt idx="225">
                  <c:v>-0.1532406242348241</c:v>
                </c:pt>
                <c:pt idx="226">
                  <c:v>-0.17039139462438513</c:v>
                </c:pt>
                <c:pt idx="227">
                  <c:v>-0.19407446481351798</c:v>
                </c:pt>
                <c:pt idx="228">
                  <c:v>-0.21497294453746996</c:v>
                </c:pt>
                <c:pt idx="229">
                  <c:v>-0.15651441489628048</c:v>
                </c:pt>
                <c:pt idx="230">
                  <c:v>-0.18634101094462885</c:v>
                </c:pt>
                <c:pt idx="231">
                  <c:v>-0.21783631073502008</c:v>
                </c:pt>
                <c:pt idx="232">
                  <c:v>-0.16379249883345182</c:v>
                </c:pt>
                <c:pt idx="233">
                  <c:v>-0.20367476367119153</c:v>
                </c:pt>
                <c:pt idx="234">
                  <c:v>-0.2365069963335209</c:v>
                </c:pt>
                <c:pt idx="235">
                  <c:v>-0.19088096256260201</c:v>
                </c:pt>
                <c:pt idx="236">
                  <c:v>-0.2318468616824525</c:v>
                </c:pt>
                <c:pt idx="237">
                  <c:v>-0.19604005364191579</c:v>
                </c:pt>
                <c:pt idx="238">
                  <c:v>-0.16345051562746349</c:v>
                </c:pt>
                <c:pt idx="239">
                  <c:v>-0.2101373375894191</c:v>
                </c:pt>
                <c:pt idx="240">
                  <c:v>-0.18272815722815494</c:v>
                </c:pt>
                <c:pt idx="241">
                  <c:v>-0.22494101260057775</c:v>
                </c:pt>
                <c:pt idx="242">
                  <c:v>-0.20259935065251256</c:v>
                </c:pt>
                <c:pt idx="243">
                  <c:v>-0.18313644517747107</c:v>
                </c:pt>
                <c:pt idx="244">
                  <c:v>-0.23460005449028998</c:v>
                </c:pt>
                <c:pt idx="245">
                  <c:v>-0.21982844040240934</c:v>
                </c:pt>
                <c:pt idx="246">
                  <c:v>-0.20035993559782739</c:v>
                </c:pt>
                <c:pt idx="247">
                  <c:v>-0.1946587722894364</c:v>
                </c:pt>
                <c:pt idx="248">
                  <c:v>-0.18422547096711028</c:v>
                </c:pt>
                <c:pt idx="249">
                  <c:v>-0.17995227496125565</c:v>
                </c:pt>
                <c:pt idx="250">
                  <c:v>-0.17813133864899555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F9-4020-A789-224160C0C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182607"/>
        <c:axId val="1620180207"/>
        <c:extLst/>
      </c:lineChart>
      <c:catAx>
        <c:axId val="16201826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0180207"/>
        <c:crosses val="autoZero"/>
        <c:auto val="1"/>
        <c:lblAlgn val="ctr"/>
        <c:lblOffset val="100"/>
        <c:noMultiLvlLbl val="0"/>
      </c:catAx>
      <c:valAx>
        <c:axId val="162018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018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Real to adjusted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Adjustment!$B$1</c:f>
              <c:strCache>
                <c:ptCount val="1"/>
                <c:pt idx="0">
                  <c:v>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Adjustment!$A$2:$A$52</c:f>
              <c:numCache>
                <c:formatCode>General</c:formatCode>
                <c:ptCount val="51"/>
                <c:pt idx="0">
                  <c:v>30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-1</c:v>
                </c:pt>
                <c:pt idx="32">
                  <c:v>-2</c:v>
                </c:pt>
                <c:pt idx="33">
                  <c:v>-3</c:v>
                </c:pt>
                <c:pt idx="34">
                  <c:v>-4</c:v>
                </c:pt>
                <c:pt idx="35">
                  <c:v>-5</c:v>
                </c:pt>
                <c:pt idx="36">
                  <c:v>-6</c:v>
                </c:pt>
                <c:pt idx="37">
                  <c:v>-7</c:v>
                </c:pt>
                <c:pt idx="38">
                  <c:v>-8</c:v>
                </c:pt>
                <c:pt idx="39">
                  <c:v>-9</c:v>
                </c:pt>
                <c:pt idx="40">
                  <c:v>-10</c:v>
                </c:pt>
                <c:pt idx="41">
                  <c:v>-11</c:v>
                </c:pt>
                <c:pt idx="42">
                  <c:v>-12</c:v>
                </c:pt>
                <c:pt idx="43">
                  <c:v>-13</c:v>
                </c:pt>
                <c:pt idx="44">
                  <c:v>-14</c:v>
                </c:pt>
                <c:pt idx="45">
                  <c:v>-15</c:v>
                </c:pt>
                <c:pt idx="46">
                  <c:v>-16</c:v>
                </c:pt>
                <c:pt idx="47">
                  <c:v>-17</c:v>
                </c:pt>
                <c:pt idx="48">
                  <c:v>-18</c:v>
                </c:pt>
                <c:pt idx="49">
                  <c:v>-19</c:v>
                </c:pt>
                <c:pt idx="50">
                  <c:v>-20</c:v>
                </c:pt>
              </c:numCache>
            </c:numRef>
          </c:xVal>
          <c:yVal>
            <c:numRef>
              <c:f>Adjustment!$B$2:$B$52</c:f>
              <c:numCache>
                <c:formatCode>General</c:formatCode>
                <c:ptCount val="51"/>
                <c:pt idx="0">
                  <c:v>30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-1</c:v>
                </c:pt>
                <c:pt idx="32">
                  <c:v>-2</c:v>
                </c:pt>
                <c:pt idx="33">
                  <c:v>-3</c:v>
                </c:pt>
                <c:pt idx="34">
                  <c:v>-4</c:v>
                </c:pt>
                <c:pt idx="35">
                  <c:v>-5</c:v>
                </c:pt>
                <c:pt idx="36">
                  <c:v>-6</c:v>
                </c:pt>
                <c:pt idx="37">
                  <c:v>-7</c:v>
                </c:pt>
                <c:pt idx="38">
                  <c:v>-8</c:v>
                </c:pt>
                <c:pt idx="39">
                  <c:v>-9</c:v>
                </c:pt>
                <c:pt idx="40">
                  <c:v>-10</c:v>
                </c:pt>
                <c:pt idx="41">
                  <c:v>-11</c:v>
                </c:pt>
                <c:pt idx="42">
                  <c:v>-12</c:v>
                </c:pt>
                <c:pt idx="43">
                  <c:v>-13</c:v>
                </c:pt>
                <c:pt idx="44">
                  <c:v>-14</c:v>
                </c:pt>
                <c:pt idx="45">
                  <c:v>-15</c:v>
                </c:pt>
                <c:pt idx="46">
                  <c:v>-16</c:v>
                </c:pt>
                <c:pt idx="47">
                  <c:v>-17</c:v>
                </c:pt>
                <c:pt idx="48">
                  <c:v>-18</c:v>
                </c:pt>
                <c:pt idx="49">
                  <c:v>-19</c:v>
                </c:pt>
                <c:pt idx="50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99-4845-AB82-AA6605E2A887}"/>
            </c:ext>
          </c:extLst>
        </c:ser>
        <c:ser>
          <c:idx val="1"/>
          <c:order val="1"/>
          <c:tx>
            <c:strRef>
              <c:f>Adjustment!$C$1</c:f>
              <c:strCache>
                <c:ptCount val="1"/>
                <c:pt idx="0">
                  <c:v>Adjusted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Adjustment!$A$2:$A$52</c:f>
              <c:numCache>
                <c:formatCode>General</c:formatCode>
                <c:ptCount val="51"/>
                <c:pt idx="0">
                  <c:v>30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-1</c:v>
                </c:pt>
                <c:pt idx="32">
                  <c:v>-2</c:v>
                </c:pt>
                <c:pt idx="33">
                  <c:v>-3</c:v>
                </c:pt>
                <c:pt idx="34">
                  <c:v>-4</c:v>
                </c:pt>
                <c:pt idx="35">
                  <c:v>-5</c:v>
                </c:pt>
                <c:pt idx="36">
                  <c:v>-6</c:v>
                </c:pt>
                <c:pt idx="37">
                  <c:v>-7</c:v>
                </c:pt>
                <c:pt idx="38">
                  <c:v>-8</c:v>
                </c:pt>
                <c:pt idx="39">
                  <c:v>-9</c:v>
                </c:pt>
                <c:pt idx="40">
                  <c:v>-10</c:v>
                </c:pt>
                <c:pt idx="41">
                  <c:v>-11</c:v>
                </c:pt>
                <c:pt idx="42">
                  <c:v>-12</c:v>
                </c:pt>
                <c:pt idx="43">
                  <c:v>-13</c:v>
                </c:pt>
                <c:pt idx="44">
                  <c:v>-14</c:v>
                </c:pt>
                <c:pt idx="45">
                  <c:v>-15</c:v>
                </c:pt>
                <c:pt idx="46">
                  <c:v>-16</c:v>
                </c:pt>
                <c:pt idx="47">
                  <c:v>-17</c:v>
                </c:pt>
                <c:pt idx="48">
                  <c:v>-18</c:v>
                </c:pt>
                <c:pt idx="49">
                  <c:v>-19</c:v>
                </c:pt>
                <c:pt idx="50">
                  <c:v>-20</c:v>
                </c:pt>
              </c:numCache>
            </c:numRef>
          </c:xVal>
          <c:yVal>
            <c:numRef>
              <c:f>Adjustment!$C$2:$C$52</c:f>
              <c:numCache>
                <c:formatCode>General</c:formatCode>
                <c:ptCount val="51"/>
                <c:pt idx="0">
                  <c:v>34</c:v>
                </c:pt>
                <c:pt idx="1">
                  <c:v>33</c:v>
                </c:pt>
                <c:pt idx="2">
                  <c:v>32</c:v>
                </c:pt>
                <c:pt idx="3">
                  <c:v>31</c:v>
                </c:pt>
                <c:pt idx="4">
                  <c:v>30</c:v>
                </c:pt>
                <c:pt idx="5">
                  <c:v>29</c:v>
                </c:pt>
                <c:pt idx="6">
                  <c:v>28</c:v>
                </c:pt>
                <c:pt idx="7">
                  <c:v>27</c:v>
                </c:pt>
                <c:pt idx="8">
                  <c:v>26</c:v>
                </c:pt>
                <c:pt idx="9">
                  <c:v>25</c:v>
                </c:pt>
                <c:pt idx="10">
                  <c:v>24</c:v>
                </c:pt>
                <c:pt idx="11">
                  <c:v>23</c:v>
                </c:pt>
                <c:pt idx="12">
                  <c:v>21</c:v>
                </c:pt>
                <c:pt idx="13">
                  <c:v>20</c:v>
                </c:pt>
                <c:pt idx="14">
                  <c:v>19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15</c:v>
                </c:pt>
                <c:pt idx="19">
                  <c:v>13</c:v>
                </c:pt>
                <c:pt idx="20">
                  <c:v>12</c:v>
                </c:pt>
                <c:pt idx="21">
                  <c:v>11</c:v>
                </c:pt>
                <c:pt idx="22">
                  <c:v>10</c:v>
                </c:pt>
                <c:pt idx="23">
                  <c:v>9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0</c:v>
                </c:pt>
                <c:pt idx="31">
                  <c:v>-2</c:v>
                </c:pt>
                <c:pt idx="32">
                  <c:v>-3</c:v>
                </c:pt>
                <c:pt idx="33">
                  <c:v>-4</c:v>
                </c:pt>
                <c:pt idx="34">
                  <c:v>-5</c:v>
                </c:pt>
                <c:pt idx="35">
                  <c:v>-7</c:v>
                </c:pt>
                <c:pt idx="36">
                  <c:v>-8</c:v>
                </c:pt>
                <c:pt idx="37">
                  <c:v>-9</c:v>
                </c:pt>
                <c:pt idx="38">
                  <c:v>-10</c:v>
                </c:pt>
                <c:pt idx="39">
                  <c:v>-11</c:v>
                </c:pt>
                <c:pt idx="40">
                  <c:v>-13</c:v>
                </c:pt>
                <c:pt idx="41">
                  <c:v>-14</c:v>
                </c:pt>
                <c:pt idx="42">
                  <c:v>-15</c:v>
                </c:pt>
                <c:pt idx="43">
                  <c:v>-16</c:v>
                </c:pt>
                <c:pt idx="44">
                  <c:v>-17</c:v>
                </c:pt>
                <c:pt idx="45">
                  <c:v>-18</c:v>
                </c:pt>
                <c:pt idx="46">
                  <c:v>-19</c:v>
                </c:pt>
                <c:pt idx="47">
                  <c:v>-20</c:v>
                </c:pt>
                <c:pt idx="48">
                  <c:v>-21</c:v>
                </c:pt>
                <c:pt idx="49">
                  <c:v>-22</c:v>
                </c:pt>
                <c:pt idx="50">
                  <c:v>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99-4845-AB82-AA6605E2A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774304"/>
        <c:axId val="1369766624"/>
      </c:scatterChart>
      <c:valAx>
        <c:axId val="136977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9766624"/>
        <c:crosses val="autoZero"/>
        <c:crossBetween val="midCat"/>
      </c:valAx>
      <c:valAx>
        <c:axId val="13697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977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'NTC PAW-A2W-TSOD'!$E$1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'NTC PAW-A2W-TSOD'!$D$2:$D$227</c:f>
              <c:numCache>
                <c:formatCode>General</c:formatCode>
                <c:ptCount val="226"/>
                <c:pt idx="0">
                  <c:v>-40</c:v>
                </c:pt>
                <c:pt idx="1">
                  <c:v>-39</c:v>
                </c:pt>
                <c:pt idx="2">
                  <c:v>-38</c:v>
                </c:pt>
                <c:pt idx="3">
                  <c:v>-37</c:v>
                </c:pt>
                <c:pt idx="4">
                  <c:v>-36</c:v>
                </c:pt>
                <c:pt idx="5">
                  <c:v>-35</c:v>
                </c:pt>
                <c:pt idx="6">
                  <c:v>-34</c:v>
                </c:pt>
                <c:pt idx="7">
                  <c:v>-33</c:v>
                </c:pt>
                <c:pt idx="8">
                  <c:v>-32</c:v>
                </c:pt>
                <c:pt idx="9">
                  <c:v>-31</c:v>
                </c:pt>
                <c:pt idx="10">
                  <c:v>-30</c:v>
                </c:pt>
                <c:pt idx="11">
                  <c:v>-29</c:v>
                </c:pt>
                <c:pt idx="12">
                  <c:v>-28</c:v>
                </c:pt>
                <c:pt idx="13">
                  <c:v>-27</c:v>
                </c:pt>
                <c:pt idx="14">
                  <c:v>-26</c:v>
                </c:pt>
                <c:pt idx="15">
                  <c:v>-25</c:v>
                </c:pt>
                <c:pt idx="16">
                  <c:v>-24</c:v>
                </c:pt>
                <c:pt idx="17">
                  <c:v>-23</c:v>
                </c:pt>
                <c:pt idx="18">
                  <c:v>-22</c:v>
                </c:pt>
                <c:pt idx="19">
                  <c:v>-21</c:v>
                </c:pt>
                <c:pt idx="20">
                  <c:v>-20</c:v>
                </c:pt>
                <c:pt idx="21">
                  <c:v>-19</c:v>
                </c:pt>
                <c:pt idx="22">
                  <c:v>-18</c:v>
                </c:pt>
                <c:pt idx="23">
                  <c:v>-17</c:v>
                </c:pt>
                <c:pt idx="24">
                  <c:v>-16</c:v>
                </c:pt>
                <c:pt idx="25">
                  <c:v>-15</c:v>
                </c:pt>
                <c:pt idx="26">
                  <c:v>-14</c:v>
                </c:pt>
                <c:pt idx="27">
                  <c:v>-13</c:v>
                </c:pt>
                <c:pt idx="28">
                  <c:v>-12</c:v>
                </c:pt>
                <c:pt idx="29">
                  <c:v>-11</c:v>
                </c:pt>
                <c:pt idx="30">
                  <c:v>-10</c:v>
                </c:pt>
                <c:pt idx="31">
                  <c:v>-9</c:v>
                </c:pt>
                <c:pt idx="32">
                  <c:v>-8</c:v>
                </c:pt>
                <c:pt idx="33">
                  <c:v>-7</c:v>
                </c:pt>
                <c:pt idx="34">
                  <c:v>-6</c:v>
                </c:pt>
                <c:pt idx="35">
                  <c:v>-5</c:v>
                </c:pt>
                <c:pt idx="36">
                  <c:v>-4</c:v>
                </c:pt>
                <c:pt idx="37">
                  <c:v>-3</c:v>
                </c:pt>
                <c:pt idx="38">
                  <c:v>-2</c:v>
                </c:pt>
                <c:pt idx="39">
                  <c:v>-1</c:v>
                </c:pt>
                <c:pt idx="40">
                  <c:v>0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13</c:v>
                </c:pt>
                <c:pt idx="54">
                  <c:v>14</c:v>
                </c:pt>
                <c:pt idx="55">
                  <c:v>15</c:v>
                </c:pt>
                <c:pt idx="56">
                  <c:v>16</c:v>
                </c:pt>
                <c:pt idx="57">
                  <c:v>17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25</c:v>
                </c:pt>
                <c:pt idx="66">
                  <c:v>26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41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50</c:v>
                </c:pt>
                <c:pt idx="91">
                  <c:v>51</c:v>
                </c:pt>
                <c:pt idx="92">
                  <c:v>52</c:v>
                </c:pt>
                <c:pt idx="93">
                  <c:v>53</c:v>
                </c:pt>
                <c:pt idx="94">
                  <c:v>54</c:v>
                </c:pt>
                <c:pt idx="95">
                  <c:v>55</c:v>
                </c:pt>
                <c:pt idx="96">
                  <c:v>56</c:v>
                </c:pt>
                <c:pt idx="97">
                  <c:v>57</c:v>
                </c:pt>
                <c:pt idx="98">
                  <c:v>58</c:v>
                </c:pt>
                <c:pt idx="99">
                  <c:v>59</c:v>
                </c:pt>
                <c:pt idx="100">
                  <c:v>60</c:v>
                </c:pt>
                <c:pt idx="101">
                  <c:v>61</c:v>
                </c:pt>
                <c:pt idx="102">
                  <c:v>62</c:v>
                </c:pt>
                <c:pt idx="103">
                  <c:v>63</c:v>
                </c:pt>
                <c:pt idx="104">
                  <c:v>64</c:v>
                </c:pt>
                <c:pt idx="105">
                  <c:v>65</c:v>
                </c:pt>
                <c:pt idx="106">
                  <c:v>66</c:v>
                </c:pt>
                <c:pt idx="107">
                  <c:v>67</c:v>
                </c:pt>
                <c:pt idx="108">
                  <c:v>68</c:v>
                </c:pt>
                <c:pt idx="109">
                  <c:v>69</c:v>
                </c:pt>
                <c:pt idx="110">
                  <c:v>70</c:v>
                </c:pt>
                <c:pt idx="111">
                  <c:v>71</c:v>
                </c:pt>
                <c:pt idx="112">
                  <c:v>72</c:v>
                </c:pt>
                <c:pt idx="113">
                  <c:v>73</c:v>
                </c:pt>
                <c:pt idx="114">
                  <c:v>74</c:v>
                </c:pt>
                <c:pt idx="115">
                  <c:v>75</c:v>
                </c:pt>
                <c:pt idx="116">
                  <c:v>76</c:v>
                </c:pt>
                <c:pt idx="117">
                  <c:v>77</c:v>
                </c:pt>
                <c:pt idx="118">
                  <c:v>78</c:v>
                </c:pt>
                <c:pt idx="119">
                  <c:v>79</c:v>
                </c:pt>
                <c:pt idx="120">
                  <c:v>80</c:v>
                </c:pt>
                <c:pt idx="121">
                  <c:v>81</c:v>
                </c:pt>
                <c:pt idx="122">
                  <c:v>82</c:v>
                </c:pt>
                <c:pt idx="123">
                  <c:v>83</c:v>
                </c:pt>
                <c:pt idx="124">
                  <c:v>84</c:v>
                </c:pt>
                <c:pt idx="125">
                  <c:v>85</c:v>
                </c:pt>
                <c:pt idx="126">
                  <c:v>86</c:v>
                </c:pt>
                <c:pt idx="127">
                  <c:v>87</c:v>
                </c:pt>
                <c:pt idx="128">
                  <c:v>88</c:v>
                </c:pt>
                <c:pt idx="129">
                  <c:v>89</c:v>
                </c:pt>
                <c:pt idx="130">
                  <c:v>90</c:v>
                </c:pt>
                <c:pt idx="131">
                  <c:v>91</c:v>
                </c:pt>
                <c:pt idx="132">
                  <c:v>92</c:v>
                </c:pt>
                <c:pt idx="133">
                  <c:v>93</c:v>
                </c:pt>
                <c:pt idx="134">
                  <c:v>94</c:v>
                </c:pt>
                <c:pt idx="135">
                  <c:v>95</c:v>
                </c:pt>
                <c:pt idx="136">
                  <c:v>96</c:v>
                </c:pt>
                <c:pt idx="137">
                  <c:v>97</c:v>
                </c:pt>
                <c:pt idx="138">
                  <c:v>98</c:v>
                </c:pt>
                <c:pt idx="139">
                  <c:v>99</c:v>
                </c:pt>
                <c:pt idx="140">
                  <c:v>100</c:v>
                </c:pt>
                <c:pt idx="141">
                  <c:v>101</c:v>
                </c:pt>
                <c:pt idx="142">
                  <c:v>102</c:v>
                </c:pt>
                <c:pt idx="143">
                  <c:v>103</c:v>
                </c:pt>
                <c:pt idx="144">
                  <c:v>104</c:v>
                </c:pt>
                <c:pt idx="145">
                  <c:v>105</c:v>
                </c:pt>
                <c:pt idx="146">
                  <c:v>106</c:v>
                </c:pt>
                <c:pt idx="147">
                  <c:v>107</c:v>
                </c:pt>
                <c:pt idx="148">
                  <c:v>108</c:v>
                </c:pt>
                <c:pt idx="149">
                  <c:v>109</c:v>
                </c:pt>
                <c:pt idx="150">
                  <c:v>110</c:v>
                </c:pt>
                <c:pt idx="151">
                  <c:v>111</c:v>
                </c:pt>
                <c:pt idx="152">
                  <c:v>112</c:v>
                </c:pt>
                <c:pt idx="153">
                  <c:v>113</c:v>
                </c:pt>
                <c:pt idx="154">
                  <c:v>114</c:v>
                </c:pt>
                <c:pt idx="155">
                  <c:v>115</c:v>
                </c:pt>
                <c:pt idx="156">
                  <c:v>116</c:v>
                </c:pt>
                <c:pt idx="157">
                  <c:v>117</c:v>
                </c:pt>
                <c:pt idx="158">
                  <c:v>118</c:v>
                </c:pt>
                <c:pt idx="159">
                  <c:v>119</c:v>
                </c:pt>
                <c:pt idx="160">
                  <c:v>120</c:v>
                </c:pt>
                <c:pt idx="161">
                  <c:v>121</c:v>
                </c:pt>
                <c:pt idx="162">
                  <c:v>122</c:v>
                </c:pt>
                <c:pt idx="163">
                  <c:v>123</c:v>
                </c:pt>
                <c:pt idx="164">
                  <c:v>124</c:v>
                </c:pt>
                <c:pt idx="165">
                  <c:v>125</c:v>
                </c:pt>
                <c:pt idx="166">
                  <c:v>126</c:v>
                </c:pt>
                <c:pt idx="167">
                  <c:v>127</c:v>
                </c:pt>
                <c:pt idx="168">
                  <c:v>128</c:v>
                </c:pt>
                <c:pt idx="169">
                  <c:v>129</c:v>
                </c:pt>
                <c:pt idx="170">
                  <c:v>130</c:v>
                </c:pt>
                <c:pt idx="171">
                  <c:v>131</c:v>
                </c:pt>
                <c:pt idx="172">
                  <c:v>132</c:v>
                </c:pt>
                <c:pt idx="173">
                  <c:v>133</c:v>
                </c:pt>
                <c:pt idx="174">
                  <c:v>134</c:v>
                </c:pt>
                <c:pt idx="175">
                  <c:v>135</c:v>
                </c:pt>
                <c:pt idx="176">
                  <c:v>136</c:v>
                </c:pt>
                <c:pt idx="177">
                  <c:v>137</c:v>
                </c:pt>
                <c:pt idx="178">
                  <c:v>138</c:v>
                </c:pt>
                <c:pt idx="179">
                  <c:v>139</c:v>
                </c:pt>
                <c:pt idx="180">
                  <c:v>140</c:v>
                </c:pt>
                <c:pt idx="181">
                  <c:v>141</c:v>
                </c:pt>
                <c:pt idx="182">
                  <c:v>142</c:v>
                </c:pt>
                <c:pt idx="183">
                  <c:v>143</c:v>
                </c:pt>
                <c:pt idx="184">
                  <c:v>144</c:v>
                </c:pt>
                <c:pt idx="185">
                  <c:v>145</c:v>
                </c:pt>
                <c:pt idx="186">
                  <c:v>146</c:v>
                </c:pt>
                <c:pt idx="187">
                  <c:v>147</c:v>
                </c:pt>
                <c:pt idx="188">
                  <c:v>148</c:v>
                </c:pt>
                <c:pt idx="189">
                  <c:v>149</c:v>
                </c:pt>
                <c:pt idx="190">
                  <c:v>150</c:v>
                </c:pt>
              </c:numCache>
            </c:numRef>
          </c:cat>
          <c:val>
            <c:numRef>
              <c:f>'NTC PAW-A2W-TSOD'!$E$2:$E$227</c:f>
              <c:numCache>
                <c:formatCode>0</c:formatCode>
                <c:ptCount val="226"/>
                <c:pt idx="0">
                  <c:v>167820.00000000003</c:v>
                </c:pt>
                <c:pt idx="1">
                  <c:v>157974.8564825542</c:v>
                </c:pt>
                <c:pt idx="2">
                  <c:v>148765.36017883845</c:v>
                </c:pt>
                <c:pt idx="3">
                  <c:v>140146.9749767342</c:v>
                </c:pt>
                <c:pt idx="4">
                  <c:v>132078.51692233919</c:v>
                </c:pt>
                <c:pt idx="5">
                  <c:v>124521.885239045</c:v>
                </c:pt>
                <c:pt idx="6">
                  <c:v>117441.81621691574</c:v>
                </c:pt>
                <c:pt idx="7">
                  <c:v>110805.65792201112</c:v>
                </c:pt>
                <c:pt idx="8">
                  <c:v>104583.16386826061</c:v>
                </c:pt>
                <c:pt idx="9">
                  <c:v>98746.303968579639</c:v>
                </c:pt>
                <c:pt idx="10">
                  <c:v>93269.091238791312</c:v>
                </c:pt>
                <c:pt idx="11">
                  <c:v>88127.422869652801</c:v>
                </c:pt>
                <c:pt idx="12">
                  <c:v>83298.934410099886</c:v>
                </c:pt>
                <c:pt idx="13">
                  <c:v>78762.865920348908</c:v>
                </c:pt>
                <c:pt idx="14">
                  <c:v>74499.939057919139</c:v>
                </c:pt>
                <c:pt idx="15">
                  <c:v>70492.244154012005</c:v>
                </c:pt>
                <c:pt idx="16">
                  <c:v>66723.136423127697</c:v>
                </c:pt>
                <c:pt idx="17">
                  <c:v>63177.140526032279</c:v>
                </c:pt>
                <c:pt idx="18">
                  <c:v>59839.862776279602</c:v>
                </c:pt>
                <c:pt idx="19">
                  <c:v>56697.910343797725</c:v>
                </c:pt>
                <c:pt idx="20">
                  <c:v>53738.816866654146</c:v>
                </c:pt>
                <c:pt idx="21">
                  <c:v>50950.973934104979</c:v>
                </c:pt>
                <c:pt idx="22">
                  <c:v>48323.567951478806</c:v>
                </c:pt>
                <c:pt idx="23">
                  <c:v>45846.521940228304</c:v>
                </c:pt>
                <c:pt idx="24">
                  <c:v>43510.441865570014</c:v>
                </c:pt>
                <c:pt idx="25">
                  <c:v>41306.567119494153</c:v>
                </c:pt>
                <c:pt idx="26">
                  <c:v>39226.724819151095</c:v>
                </c:pt>
                <c:pt idx="27">
                  <c:v>37263.287609846899</c:v>
                </c:pt>
                <c:pt idx="28">
                  <c:v>35409.134688591701</c:v>
                </c:pt>
                <c:pt idx="29">
                  <c:v>33657.615788284049</c:v>
                </c:pt>
                <c:pt idx="30">
                  <c:v>32002.517884764824</c:v>
                </c:pt>
                <c:pt idx="31">
                  <c:v>30438.034409042022</c:v>
                </c:pt>
                <c:pt idx="32">
                  <c:v>28958.736765315181</c:v>
                </c:pt>
                <c:pt idx="33">
                  <c:v>27559.547972138935</c:v>
                </c:pt>
                <c:pt idx="34">
                  <c:v>26235.718259286805</c:v>
                </c:pt>
                <c:pt idx="35">
                  <c:v>24982.802466813493</c:v>
                </c:pt>
                <c:pt idx="36">
                  <c:v>23796.639105457005</c:v>
                </c:pt>
                <c:pt idx="37">
                  <c:v>22673.330949170169</c:v>
                </c:pt>
                <c:pt idx="38">
                  <c:v>21609.227041103393</c:v>
                </c:pt>
                <c:pt idx="39">
                  <c:v>20600.906004094402</c:v>
                </c:pt>
                <c:pt idx="40">
                  <c:v>19645.16055553154</c:v>
                </c:pt>
                <c:pt idx="41">
                  <c:v>18738.983134575516</c:v>
                </c:pt>
                <c:pt idx="42">
                  <c:v>17879.552557127023</c:v>
                </c:pt>
                <c:pt idx="43">
                  <c:v>17064.221620710396</c:v>
                </c:pt>
                <c:pt idx="44">
                  <c:v>16290.505587658608</c:v>
                </c:pt>
                <c:pt idx="45">
                  <c:v>15556.071480669829</c:v>
                </c:pt>
                <c:pt idx="46">
                  <c:v>14858.728130036452</c:v>
                </c:pt>
                <c:pt idx="47">
                  <c:v>14196.416916613594</c:v>
                </c:pt>
                <c:pt idx="48">
                  <c:v>13567.203158992852</c:v>
                </c:pt>
                <c:pt idx="49">
                  <c:v>12969.268097371763</c:v>
                </c:pt>
                <c:pt idx="50">
                  <c:v>12400.901430297481</c:v>
                </c:pt>
                <c:pt idx="51">
                  <c:v>11860.494363873044</c:v>
                </c:pt>
                <c:pt idx="52">
                  <c:v>11346.533136109498</c:v>
                </c:pt>
                <c:pt idx="53">
                  <c:v>10857.592981994168</c:v>
                </c:pt>
                <c:pt idx="54">
                  <c:v>10392.332507463245</c:v>
                </c:pt>
                <c:pt idx="55">
                  <c:v>9949.4884429000867</c:v>
                </c:pt>
                <c:pt idx="56">
                  <c:v>9527.8707489982862</c:v>
                </c:pt>
                <c:pt idx="57">
                  <c:v>9126.3580498919673</c:v>
                </c:pt>
                <c:pt idx="58">
                  <c:v>8743.8933703269977</c:v>
                </c:pt>
                <c:pt idx="59">
                  <c:v>8379.4801554076494</c:v>
                </c:pt>
                <c:pt idx="60">
                  <c:v>8032.1785530279985</c:v>
                </c:pt>
                <c:pt idx="61">
                  <c:v>7701.1019406027253</c:v>
                </c:pt>
                <c:pt idx="62">
                  <c:v>7385.4136790454813</c:v>
                </c:pt>
                <c:pt idx="63">
                  <c:v>7084.3240782191751</c:v>
                </c:pt>
                <c:pt idx="64">
                  <c:v>6797.0875592290167</c:v>
                </c:pt>
                <c:pt idx="65">
                  <c:v>6523.0000000000609</c:v>
                </c:pt>
                <c:pt idx="66">
                  <c:v>6261.3962515689855</c:v>
                </c:pt>
                <c:pt idx="67">
                  <c:v>6011.6478134309546</c:v>
                </c:pt>
                <c:pt idx="68">
                  <c:v>5773.1606571202065</c:v>
                </c:pt>
                <c:pt idx="69">
                  <c:v>5545.3731879850129</c:v>
                </c:pt>
                <c:pt idx="70">
                  <c:v>5327.7543358344401</c:v>
                </c:pt>
                <c:pt idx="71">
                  <c:v>5119.8017657990304</c:v>
                </c:pt>
                <c:pt idx="72">
                  <c:v>4921.0402013624143</c:v>
                </c:pt>
                <c:pt idx="73">
                  <c:v>4731.0198520890344</c:v>
                </c:pt>
                <c:pt idx="74">
                  <c:v>4549.3149391028119</c:v>
                </c:pt>
                <c:pt idx="75">
                  <c:v>4375.5223118531749</c:v>
                </c:pt>
                <c:pt idx="76">
                  <c:v>4209.2601501627096</c:v>
                </c:pt>
                <c:pt idx="77">
                  <c:v>4050.1667459648602</c:v>
                </c:pt>
                <c:pt idx="78">
                  <c:v>3897.8993595282977</c:v>
                </c:pt>
                <c:pt idx="79">
                  <c:v>3752.1331453254729</c:v>
                </c:pt>
                <c:pt idx="80">
                  <c:v>3612.5601430340525</c:v>
                </c:pt>
                <c:pt idx="81">
                  <c:v>3478.8883294711727</c:v>
                </c:pt>
                <c:pt idx="82">
                  <c:v>3350.8407275437912</c:v>
                </c:pt>
                <c:pt idx="83">
                  <c:v>3228.154568569204</c:v>
                </c:pt>
                <c:pt idx="84">
                  <c:v>3110.580504561638</c:v>
                </c:pt>
                <c:pt idx="85">
                  <c:v>2997.8818673157725</c:v>
                </c:pt>
                <c:pt idx="86">
                  <c:v>2889.8339713254709</c:v>
                </c:pt>
                <c:pt idx="87">
                  <c:v>2786.2234577790259</c:v>
                </c:pt>
                <c:pt idx="88">
                  <c:v>2686.8476770531515</c:v>
                </c:pt>
                <c:pt idx="89">
                  <c:v>2591.5141073002278</c:v>
                </c:pt>
                <c:pt idx="90">
                  <c:v>2500.0398068828172</c:v>
                </c:pt>
                <c:pt idx="91">
                  <c:v>2412.2508985564168</c:v>
                </c:pt>
                <c:pt idx="92">
                  <c:v>2327.982083440279</c:v>
                </c:pt>
                <c:pt idx="93">
                  <c:v>2247.0761829433909</c:v>
                </c:pt>
                <c:pt idx="94">
                  <c:v>2169.3837069339925</c:v>
                </c:pt>
                <c:pt idx="95">
                  <c:v>2094.7624465487133</c:v>
                </c:pt>
                <c:pt idx="96">
                  <c:v>2023.0770901452959</c:v>
                </c:pt>
                <c:pt idx="97">
                  <c:v>1954.1988609953914</c:v>
                </c:pt>
                <c:pt idx="98">
                  <c:v>1888.0051754072908</c:v>
                </c:pt>
                <c:pt idx="99">
                  <c:v>1824.379320049396</c:v>
                </c:pt>
                <c:pt idx="100">
                  <c:v>1763.2101473259625</c:v>
                </c:pt>
                <c:pt idx="101">
                  <c:v>1704.3917877272281</c:v>
                </c:pt>
                <c:pt idx="102">
                  <c:v>1647.8233781464971</c:v>
                </c:pt>
                <c:pt idx="103">
                  <c:v>1593.4088052182681</c:v>
                </c:pt>
                <c:pt idx="104">
                  <c:v>1541.0564627922179</c:v>
                </c:pt>
                <c:pt idx="105">
                  <c:v>1490.679022712189</c:v>
                </c:pt>
                <c:pt idx="106">
                  <c:v>1442.1932181218222</c:v>
                </c:pt>
                <c:pt idx="107">
                  <c:v>1395.5196385664576</c:v>
                </c:pt>
                <c:pt idx="108">
                  <c:v>1350.5825362060691</c:v>
                </c:pt>
                <c:pt idx="109">
                  <c:v>1307.3096424965545</c:v>
                </c:pt>
                <c:pt idx="110">
                  <c:v>1265.6319947354118</c:v>
                </c:pt>
                <c:pt idx="111">
                  <c:v>1225.4837719057739</c:v>
                </c:pt>
                <c:pt idx="112">
                  <c:v>1186.8021392863211</c:v>
                </c:pt>
                <c:pt idx="113">
                  <c:v>1149.5271013277131</c:v>
                </c:pt>
                <c:pt idx="114">
                  <c:v>1113.6013623255894</c:v>
                </c:pt>
                <c:pt idx="115">
                  <c:v>1078.9701944495898</c:v>
                </c:pt>
                <c:pt idx="116">
                  <c:v>1045.5813127129409</c:v>
                </c:pt>
                <c:pt idx="117">
                  <c:v>1013.3847564932776</c:v>
                </c:pt>
                <c:pt idx="118">
                  <c:v>982.33277723785716</c:v>
                </c:pt>
                <c:pt idx="119">
                  <c:v>952.37973200847625</c:v>
                </c:pt>
                <c:pt idx="120">
                  <c:v>923.48198254119393</c:v>
                </c:pt>
                <c:pt idx="121">
                  <c:v>895.5977995163812</c:v>
                </c:pt>
                <c:pt idx="122">
                  <c:v>868.68727175086394</c:v>
                </c:pt>
                <c:pt idx="123">
                  <c:v>842.71222004240178</c:v>
                </c:pt>
                <c:pt idx="124">
                  <c:v>817.63611541132434</c:v>
                </c:pt>
                <c:pt idx="125">
                  <c:v>793.42400149952084</c:v>
                </c:pt>
                <c:pt idx="126">
                  <c:v>770.04242090098546</c:v>
                </c:pt>
                <c:pt idx="127">
                  <c:v>747.45934521058314</c:v>
                </c:pt>
                <c:pt idx="128">
                  <c:v>725.64410859090572</c:v>
                </c:pt>
                <c:pt idx="129">
                  <c:v>704.56734466738101</c:v>
                </c:pt>
                <c:pt idx="130">
                  <c:v>684.20092657381338</c:v>
                </c:pt>
                <c:pt idx="131">
                  <c:v>664.51790997988815</c:v>
                </c:pt>
                <c:pt idx="132">
                  <c:v>645.49247894206439</c:v>
                </c:pt>
                <c:pt idx="133">
                  <c:v>627.09989442806102</c:v>
                </c:pt>
                <c:pt idx="134">
                  <c:v>609.31644537391583</c:v>
                </c:pt>
                <c:pt idx="135">
                  <c:v>592.11940213992455</c:v>
                </c:pt>
                <c:pt idx="136">
                  <c:v>575.48697224011494</c:v>
                </c:pt>
                <c:pt idx="137">
                  <c:v>559.39825822593843</c:v>
                </c:pt>
                <c:pt idx="138">
                  <c:v>543.8332176123098</c:v>
                </c:pt>
                <c:pt idx="139">
                  <c:v>528.77262473966368</c:v>
                </c:pt>
                <c:pt idx="140">
                  <c:v>514.19803447235643</c:v>
                </c:pt>
                <c:pt idx="141">
                  <c:v>500.09174763810677</c:v>
                </c:pt>
                <c:pt idx="142">
                  <c:v>486.43677811970508</c:v>
                </c:pt>
                <c:pt idx="143">
                  <c:v>473.21682151390888</c:v>
                </c:pt>
                <c:pt idx="144">
                  <c:v>460.41622527789724</c:v>
                </c:pt>
                <c:pt idx="145">
                  <c:v>448.0199602874236</c:v>
                </c:pt>
                <c:pt idx="146">
                  <c:v>436.01359373539719</c:v>
                </c:pt>
                <c:pt idx="147">
                  <c:v>424.38326330297889</c:v>
                </c:pt>
                <c:pt idx="148">
                  <c:v>413.11565253931286</c:v>
                </c:pt>
                <c:pt idx="149">
                  <c:v>402.19796738925533</c:v>
                </c:pt>
                <c:pt idx="150">
                  <c:v>391.61791381173794</c:v>
                </c:pt>
                <c:pt idx="151">
                  <c:v>381.36367643439183</c:v>
                </c:pt>
                <c:pt idx="152">
                  <c:v>371.42389819312871</c:v>
                </c:pt>
                <c:pt idx="153">
                  <c:v>361.78766090783051</c:v>
                </c:pt>
                <c:pt idx="154">
                  <c:v>352.44446674802924</c:v>
                </c:pt>
                <c:pt idx="155">
                  <c:v>343.38422054497033</c:v>
                </c:pt>
                <c:pt idx="156">
                  <c:v>334.59721290839633</c:v>
                </c:pt>
                <c:pt idx="157">
                  <c:v>326.0741041090555</c:v>
                </c:pt>
                <c:pt idx="158">
                  <c:v>317.80590868939731</c:v>
                </c:pt>
                <c:pt idx="159">
                  <c:v>309.78398076741581</c:v>
                </c:pt>
                <c:pt idx="160">
                  <c:v>301.99999999999869</c:v>
                </c:pt>
                <c:pt idx="161">
                  <c:v>294.4459581740802</c:v>
                </c:pt>
                <c:pt idx="162">
                  <c:v>287.11414639544063</c:v>
                </c:pt>
                <c:pt idx="163">
                  <c:v>279.99714284665816</c:v>
                </c:pt>
                <c:pt idx="164">
                  <c:v>273.08780108691934</c:v>
                </c:pt>
                <c:pt idx="165">
                  <c:v>266.37923886810137</c:v>
                </c:pt>
                <c:pt idx="166">
                  <c:v>259.86482744257393</c:v>
                </c:pt>
                <c:pt idx="167">
                  <c:v>253.53818133956531</c:v>
                </c:pt>
                <c:pt idx="168">
                  <c:v>247.39314858801384</c:v>
                </c:pt>
                <c:pt idx="169">
                  <c:v>241.42380136499483</c:v>
                </c:pt>
                <c:pt idx="170">
                  <c:v>235.62442704978886</c:v>
                </c:pt>
                <c:pt idx="171">
                  <c:v>229.98951966478424</c:v>
                </c:pt>
                <c:pt idx="172">
                  <c:v>224.51377168510936</c:v>
                </c:pt>
                <c:pt idx="173">
                  <c:v>219.19206620009027</c:v>
                </c:pt>
                <c:pt idx="174">
                  <c:v>214.01946941013748</c:v>
                </c:pt>
                <c:pt idx="175">
                  <c:v>208.99122344382167</c:v>
                </c:pt>
                <c:pt idx="176">
                  <c:v>204.10273948026196</c:v>
                </c:pt>
                <c:pt idx="177">
                  <c:v>199.34959116302755</c:v>
                </c:pt>
                <c:pt idx="178">
                  <c:v>194.72750829224208</c:v>
                </c:pt>
                <c:pt idx="179">
                  <c:v>190.23237078217849</c:v>
                </c:pt>
                <c:pt idx="180">
                  <c:v>185.86020287248249</c:v>
                </c:pt>
                <c:pt idx="181">
                  <c:v>181.60716758142397</c:v>
                </c:pt>
                <c:pt idx="182">
                  <c:v>177.46956139041211</c:v>
                </c:pt>
                <c:pt idx="183">
                  <c:v>173.4438091493563</c:v>
                </c:pt>
                <c:pt idx="184">
                  <c:v>169.52645919299874</c:v>
                </c:pt>
                <c:pt idx="185">
                  <c:v>165.71417865888003</c:v>
                </c:pt>
                <c:pt idx="186">
                  <c:v>162.00374899789335</c:v>
                </c:pt>
                <c:pt idx="187">
                  <c:v>158.39206166901275</c:v>
                </c:pt>
                <c:pt idx="188">
                  <c:v>154.87611400996786</c:v>
                </c:pt>
                <c:pt idx="189">
                  <c:v>151.45300527621029</c:v>
                </c:pt>
                <c:pt idx="190">
                  <c:v>148.11993284072562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0-46E5-AB1D-DD7E58E3E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8230719"/>
        <c:axId val="1738227839"/>
      </c:lineChart>
      <c:catAx>
        <c:axId val="173823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8227839"/>
        <c:crosses val="autoZero"/>
        <c:auto val="1"/>
        <c:lblAlgn val="ctr"/>
        <c:lblOffset val="100"/>
        <c:noMultiLvlLbl val="0"/>
      </c:catAx>
      <c:valAx>
        <c:axId val="173822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823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'MCP4151'!$C$1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'MCP4151'!$C$2:$C$260</c:f>
              <c:numCache>
                <c:formatCode>0.00</c:formatCode>
                <c:ptCount val="259"/>
                <c:pt idx="0">
                  <c:v>-18.644844136215198</c:v>
                </c:pt>
                <c:pt idx="1">
                  <c:v>-18.571256544610208</c:v>
                </c:pt>
                <c:pt idx="2">
                  <c:v>-18.497347396182846</c:v>
                </c:pt>
                <c:pt idx="3">
                  <c:v>-18.423114007203452</c:v>
                </c:pt>
                <c:pt idx="4">
                  <c:v>-18.34855366081996</c:v>
                </c:pt>
                <c:pt idx="5">
                  <c:v>-18.273663606514958</c:v>
                </c:pt>
                <c:pt idx="6">
                  <c:v>-18.198441059553488</c:v>
                </c:pt>
                <c:pt idx="7">
                  <c:v>-18.122883200417959</c:v>
                </c:pt>
                <c:pt idx="8">
                  <c:v>-18.046987174232271</c:v>
                </c:pt>
                <c:pt idx="9">
                  <c:v>-17.970750090173993</c:v>
                </c:pt>
                <c:pt idx="10">
                  <c:v>-17.894169020873733</c:v>
                </c:pt>
                <c:pt idx="11">
                  <c:v>-17.817241001803069</c:v>
                </c:pt>
                <c:pt idx="12">
                  <c:v>-17.739963030648397</c:v>
                </c:pt>
                <c:pt idx="13">
                  <c:v>-17.662332066672832</c:v>
                </c:pt>
                <c:pt idx="14">
                  <c:v>-17.584345030063673</c:v>
                </c:pt>
                <c:pt idx="15">
                  <c:v>-17.505998801266799</c:v>
                </c:pt>
                <c:pt idx="16">
                  <c:v>-17.427290220306503</c:v>
                </c:pt>
                <c:pt idx="17">
                  <c:v>-17.348216086090616</c:v>
                </c:pt>
                <c:pt idx="18">
                  <c:v>-17.268773155701552</c:v>
                </c:pt>
                <c:pt idx="19">
                  <c:v>-17.188958143670959</c:v>
                </c:pt>
                <c:pt idx="20">
                  <c:v>-17.108767721239587</c:v>
                </c:pt>
                <c:pt idx="21">
                  <c:v>-17.02819851560082</c:v>
                </c:pt>
                <c:pt idx="22">
                  <c:v>-16.947247109127318</c:v>
                </c:pt>
                <c:pt idx="23">
                  <c:v>-16.865910038581546</c:v>
                </c:pt>
                <c:pt idx="24">
                  <c:v>-16.784183794307864</c:v>
                </c:pt>
                <c:pt idx="25">
                  <c:v>-16.702064819407894</c:v>
                </c:pt>
                <c:pt idx="26">
                  <c:v>-16.619549508896739</c:v>
                </c:pt>
                <c:pt idx="27">
                  <c:v>-16.536634208840724</c:v>
                </c:pt>
                <c:pt idx="28">
                  <c:v>-16.453315215475868</c:v>
                </c:pt>
                <c:pt idx="29">
                  <c:v>-16.369588774306749</c:v>
                </c:pt>
                <c:pt idx="30">
                  <c:v>-16.285451079184327</c:v>
                </c:pt>
                <c:pt idx="31">
                  <c:v>-16.200898271363656</c:v>
                </c:pt>
                <c:pt idx="32">
                  <c:v>-16.115926438539589</c:v>
                </c:pt>
                <c:pt idx="33">
                  <c:v>-16.03053161386066</c:v>
                </c:pt>
                <c:pt idx="34">
                  <c:v>-15.944709774920341</c:v>
                </c:pt>
                <c:pt idx="35">
                  <c:v>-15.858456842724877</c:v>
                </c:pt>
                <c:pt idx="36">
                  <c:v>-15.771768680637194</c:v>
                </c:pt>
                <c:pt idx="37">
                  <c:v>-15.684641093296193</c:v>
                </c:pt>
                <c:pt idx="38">
                  <c:v>-15.597069825511028</c:v>
                </c:pt>
                <c:pt idx="39">
                  <c:v>-15.509050561128959</c:v>
                </c:pt>
                <c:pt idx="40">
                  <c:v>-15.420578921876768</c:v>
                </c:pt>
                <c:pt idx="41">
                  <c:v>-15.331650466174437</c:v>
                </c:pt>
                <c:pt idx="42">
                  <c:v>-15.242260687920975</c:v>
                </c:pt>
                <c:pt idx="43">
                  <c:v>-15.152405015250793</c:v>
                </c:pt>
                <c:pt idx="44">
                  <c:v>-15.062078809260072</c:v>
                </c:pt>
                <c:pt idx="45">
                  <c:v>-14.971277362702722</c:v>
                </c:pt>
                <c:pt idx="46">
                  <c:v>-14.879995898654442</c:v>
                </c:pt>
                <c:pt idx="47">
                  <c:v>-14.788229569144164</c:v>
                </c:pt>
                <c:pt idx="48">
                  <c:v>-14.695973453752117</c:v>
                </c:pt>
                <c:pt idx="49">
                  <c:v>-14.603222558172831</c:v>
                </c:pt>
                <c:pt idx="50">
                  <c:v>-14.509971812743572</c:v>
                </c:pt>
                <c:pt idx="51">
                  <c:v>-14.416216070934809</c:v>
                </c:pt>
                <c:pt idx="52">
                  <c:v>-14.321950107804298</c:v>
                </c:pt>
                <c:pt idx="53">
                  <c:v>-14.22716861841127</c:v>
                </c:pt>
                <c:pt idx="54">
                  <c:v>-14.131866216191384</c:v>
                </c:pt>
                <c:pt idx="55">
                  <c:v>-14.036037431289685</c:v>
                </c:pt>
                <c:pt idx="56">
                  <c:v>-13.939676708851664</c:v>
                </c:pt>
                <c:pt idx="57">
                  <c:v>-13.84277840727043</c:v>
                </c:pt>
                <c:pt idx="58">
                  <c:v>-13.745336796388301</c:v>
                </c:pt>
                <c:pt idx="59">
                  <c:v>-13.64734605565252</c:v>
                </c:pt>
                <c:pt idx="60">
                  <c:v>-13.548800272222309</c:v>
                </c:pt>
                <c:pt idx="61">
                  <c:v>-13.449693439027101</c:v>
                </c:pt>
                <c:pt idx="62">
                  <c:v>-13.35001945277304</c:v>
                </c:pt>
                <c:pt idx="63">
                  <c:v>-13.249772111897357</c:v>
                </c:pt>
                <c:pt idx="64">
                  <c:v>-13.14894511446829</c:v>
                </c:pt>
                <c:pt idx="65">
                  <c:v>-13.047532056028729</c:v>
                </c:pt>
                <c:pt idx="66">
                  <c:v>-12.94552642738239</c:v>
                </c:pt>
                <c:pt idx="67">
                  <c:v>-12.842921612319572</c:v>
                </c:pt>
                <c:pt idx="68">
                  <c:v>-12.739710885282534</c:v>
                </c:pt>
                <c:pt idx="69">
                  <c:v>-12.635887408965459</c:v>
                </c:pt>
                <c:pt idx="70">
                  <c:v>-12.531444231850458</c:v>
                </c:pt>
                <c:pt idx="71">
                  <c:v>-12.426374285674228</c:v>
                </c:pt>
                <c:pt idx="72">
                  <c:v>-12.320670382825369</c:v>
                </c:pt>
                <c:pt idx="73">
                  <c:v>-12.214325213668872</c:v>
                </c:pt>
                <c:pt idx="74">
                  <c:v>-12.107331343795806</c:v>
                </c:pt>
                <c:pt idx="75">
                  <c:v>-11.999681211195707</c:v>
                </c:pt>
                <c:pt idx="76">
                  <c:v>-11.891367123348232</c:v>
                </c:pt>
                <c:pt idx="77">
                  <c:v>-11.782381254232973</c:v>
                </c:pt>
                <c:pt idx="78">
                  <c:v>-11.672715641252864</c:v>
                </c:pt>
                <c:pt idx="79">
                  <c:v>-11.562362182069535</c:v>
                </c:pt>
                <c:pt idx="80">
                  <c:v>-11.451312631346639</c:v>
                </c:pt>
                <c:pt idx="81">
                  <c:v>-11.339558597398593</c:v>
                </c:pt>
                <c:pt idx="82">
                  <c:v>-11.227091538741035</c:v>
                </c:pt>
                <c:pt idx="83">
                  <c:v>-11.113902760539929</c:v>
                </c:pt>
                <c:pt idx="84">
                  <c:v>-10.99998341095511</c:v>
                </c:pt>
                <c:pt idx="85">
                  <c:v>-10.885324477375093</c:v>
                </c:pt>
                <c:pt idx="86">
                  <c:v>-10.769916782539042</c:v>
                </c:pt>
                <c:pt idx="87">
                  <c:v>-10.653750980541872</c:v>
                </c:pt>
                <c:pt idx="88">
                  <c:v>-10.536817552717991</c:v>
                </c:pt>
                <c:pt idx="89">
                  <c:v>-10.419106803399814</c:v>
                </c:pt>
                <c:pt idx="90">
                  <c:v>-10.30060885554559</c:v>
                </c:pt>
                <c:pt idx="91">
                  <c:v>-10.181313646232809</c:v>
                </c:pt>
                <c:pt idx="92">
                  <c:v>-10.061210922011469</c:v>
                </c:pt>
                <c:pt idx="93">
                  <c:v>-9.940290234111842</c:v>
                </c:pt>
                <c:pt idx="94">
                  <c:v>-9.818540933501879</c:v>
                </c:pt>
                <c:pt idx="95">
                  <c:v>-9.6959521657882419</c:v>
                </c:pt>
                <c:pt idx="96">
                  <c:v>-9.5725128659548204</c:v>
                </c:pt>
                <c:pt idx="97">
                  <c:v>-9.4482117529328207</c:v>
                </c:pt>
                <c:pt idx="98">
                  <c:v>-9.3230373239962319</c:v>
                </c:pt>
                <c:pt idx="99">
                  <c:v>-9.1969778489746545</c:v>
                </c:pt>
                <c:pt idx="100">
                  <c:v>-9.0700213642779772</c:v>
                </c:pt>
                <c:pt idx="101">
                  <c:v>-8.9421556667246023</c:v>
                </c:pt>
                <c:pt idx="102">
                  <c:v>-8.813368307165149</c:v>
                </c:pt>
                <c:pt idx="103">
                  <c:v>-8.6836465838946992</c:v>
                </c:pt>
                <c:pt idx="104">
                  <c:v>-8.5529775358438656</c:v>
                </c:pt>
                <c:pt idx="105">
                  <c:v>-8.4213479355404957</c:v>
                </c:pt>
                <c:pt idx="106">
                  <c:v>-8.2887442818321233</c:v>
                </c:pt>
                <c:pt idx="107">
                  <c:v>-8.1551527923606955</c:v>
                </c:pt>
                <c:pt idx="108">
                  <c:v>-8.0205593957775818</c:v>
                </c:pt>
                <c:pt idx="109">
                  <c:v>-7.8849497236892034</c:v>
                </c:pt>
                <c:pt idx="110">
                  <c:v>-7.7483091023224233</c:v>
                </c:pt>
                <c:pt idx="111">
                  <c:v>-7.6106225438964543</c:v>
                </c:pt>
                <c:pt idx="112">
                  <c:v>-7.4718747376909391</c:v>
                </c:pt>
                <c:pt idx="113">
                  <c:v>-7.3320500407951386</c:v>
                </c:pt>
                <c:pt idx="114">
                  <c:v>-7.1911324685262343</c:v>
                </c:pt>
                <c:pt idx="115">
                  <c:v>-7.0491056845018534</c:v>
                </c:pt>
                <c:pt idx="116">
                  <c:v>-6.9059529903511816</c:v>
                </c:pt>
                <c:pt idx="117">
                  <c:v>-6.7616573150503996</c:v>
                </c:pt>
                <c:pt idx="118">
                  <c:v>-6.6162012038640228</c:v>
                </c:pt>
                <c:pt idx="119">
                  <c:v>-6.4695668068764007</c:v>
                </c:pt>
                <c:pt idx="120">
                  <c:v>-6.3217358670937074</c:v>
                </c:pt>
                <c:pt idx="121">
                  <c:v>-6.1726897080977778</c:v>
                </c:pt>
                <c:pt idx="122">
                  <c:v>-6.0224092212313849</c:v>
                </c:pt>
                <c:pt idx="123">
                  <c:v>-5.8708748522932979</c:v>
                </c:pt>
                <c:pt idx="124">
                  <c:v>-5.7180665877213528</c:v>
                </c:pt>
                <c:pt idx="125">
                  <c:v>-5.563963940237727</c:v>
                </c:pt>
                <c:pt idx="126">
                  <c:v>-5.4085459339346471</c:v>
                </c:pt>
                <c:pt idx="127">
                  <c:v>-5.2517910887706307</c:v>
                </c:pt>
                <c:pt idx="128">
                  <c:v>-5.0936774044516824</c:v>
                </c:pt>
                <c:pt idx="129">
                  <c:v>-4.9341823436668619</c:v>
                </c:pt>
                <c:pt idx="130">
                  <c:v>-4.773282814647871</c:v>
                </c:pt>
                <c:pt idx="131">
                  <c:v>-4.6109551530191197</c:v>
                </c:pt>
                <c:pt idx="132">
                  <c:v>-4.4471751029037137</c:v>
                </c:pt>
                <c:pt idx="133">
                  <c:v>-4.2819177972489229</c:v>
                </c:pt>
                <c:pt idx="134">
                  <c:v>-4.1151577373322539</c:v>
                </c:pt>
                <c:pt idx="135">
                  <c:v>-3.9468687714060593</c:v>
                </c:pt>
                <c:pt idx="136">
                  <c:v>-3.7770240724386781</c:v>
                </c:pt>
                <c:pt idx="137">
                  <c:v>-3.6055961149046425</c:v>
                </c:pt>
                <c:pt idx="138">
                  <c:v>-3.4325566505761458</c:v>
                </c:pt>
                <c:pt idx="139">
                  <c:v>-3.2578766832625661</c:v>
                </c:pt>
                <c:pt idx="140">
                  <c:v>-3.0815264424443853</c:v>
                </c:pt>
                <c:pt idx="141">
                  <c:v>-2.9034753557425574</c:v>
                </c:pt>
                <c:pt idx="142">
                  <c:v>-2.7236920201611383</c:v>
                </c:pt>
                <c:pt idx="143">
                  <c:v>-2.5421441720374105</c:v>
                </c:pt>
                <c:pt idx="144">
                  <c:v>-2.3587986556299825</c:v>
                </c:pt>
                <c:pt idx="145">
                  <c:v>-2.1736213902697727</c:v>
                </c:pt>
                <c:pt idx="146">
                  <c:v>-1.9865773359945251</c:v>
                </c:pt>
                <c:pt idx="147">
                  <c:v>-1.7976304575836366</c:v>
                </c:pt>
                <c:pt idx="148">
                  <c:v>-1.6067436869018366</c:v>
                </c:pt>
                <c:pt idx="149">
                  <c:v>-1.413878883456789</c:v>
                </c:pt>
                <c:pt idx="150">
                  <c:v>-1.218996793068527</c:v>
                </c:pt>
                <c:pt idx="151">
                  <c:v>-1.0220570045414092</c:v>
                </c:pt>
                <c:pt idx="152">
                  <c:v>-0.82301790422195609</c:v>
                </c:pt>
                <c:pt idx="153">
                  <c:v>-0.6218366283185901</c:v>
                </c:pt>
                <c:pt idx="154">
                  <c:v>-0.41846901284992555</c:v>
                </c:pt>
                <c:pt idx="155">
                  <c:v>-0.2128695410795558</c:v>
                </c:pt>
                <c:pt idx="156">
                  <c:v>-4.9912882846001594E-3</c:v>
                </c:pt>
                <c:pt idx="157">
                  <c:v>0.2052141363044484</c:v>
                </c:pt>
                <c:pt idx="158">
                  <c:v>0.41779665056805015</c:v>
                </c:pt>
                <c:pt idx="159">
                  <c:v>0.63280776375398773</c:v>
                </c:pt>
                <c:pt idx="160">
                  <c:v>0.85030064412603679</c:v>
                </c:pt>
                <c:pt idx="161">
                  <c:v>1.0703301902225348</c:v>
                </c:pt>
                <c:pt idx="162">
                  <c:v>1.2929531059564852</c:v>
                </c:pt>
                <c:pt idx="163">
                  <c:v>1.5182279798076479</c:v>
                </c:pt>
                <c:pt idx="164">
                  <c:v>1.7462153683758288</c:v>
                </c:pt>
                <c:pt idx="165">
                  <c:v>1.9769778845854376</c:v>
                </c:pt>
                <c:pt idx="166">
                  <c:v>2.2105802908544092</c:v>
                </c:pt>
                <c:pt idx="167">
                  <c:v>2.4470895975640019</c:v>
                </c:pt>
                <c:pt idx="168">
                  <c:v>2.686575167195258</c:v>
                </c:pt>
                <c:pt idx="169">
                  <c:v>2.9291088245252581</c:v>
                </c:pt>
                <c:pt idx="170">
                  <c:v>3.1747649733097774</c:v>
                </c:pt>
                <c:pt idx="171">
                  <c:v>3.4236207199130035</c:v>
                </c:pt>
                <c:pt idx="172">
                  <c:v>3.6757560043856756</c:v>
                </c:pt>
                <c:pt idx="173">
                  <c:v>3.9312537395333607</c:v>
                </c:pt>
                <c:pt idx="174">
                  <c:v>4.1901999585631415</c:v>
                </c:pt>
                <c:pt idx="175">
                  <c:v>4.4526839719505347</c:v>
                </c:pt>
                <c:pt idx="176">
                  <c:v>4.7187985342207526</c:v>
                </c:pt>
                <c:pt idx="177">
                  <c:v>4.9886400214043647</c:v>
                </c:pt>
                <c:pt idx="178">
                  <c:v>5.2623086199927229</c:v>
                </c:pt>
                <c:pt idx="179">
                  <c:v>5.539908528294859</c:v>
                </c:pt>
                <c:pt idx="180">
                  <c:v>5.8215481711819166</c:v>
                </c:pt>
                <c:pt idx="181">
                  <c:v>6.1073404292957321</c:v>
                </c:pt>
                <c:pt idx="182">
                  <c:v>6.3974028839008952</c:v>
                </c:pt>
                <c:pt idx="183">
                  <c:v>6.6918580786735333</c:v>
                </c:pt>
                <c:pt idx="184">
                  <c:v>6.9908337998458023</c:v>
                </c:pt>
                <c:pt idx="185">
                  <c:v>7.2944633762645594</c:v>
                </c:pt>
                <c:pt idx="186">
                  <c:v>7.6028860010790709</c:v>
                </c:pt>
                <c:pt idx="187">
                  <c:v>7.9162470769481388</c:v>
                </c:pt>
                <c:pt idx="188">
                  <c:v>8.2346985868497882</c:v>
                </c:pt>
                <c:pt idx="189">
                  <c:v>8.5583994927946492</c:v>
                </c:pt>
                <c:pt idx="190">
                  <c:v>8.8875161649917231</c:v>
                </c:pt>
                <c:pt idx="191">
                  <c:v>9.2222228442836922</c:v>
                </c:pt>
                <c:pt idx="192">
                  <c:v>9.5627021409831627</c:v>
                </c:pt>
                <c:pt idx="193">
                  <c:v>9.9091455735847944</c:v>
                </c:pt>
                <c:pt idx="194">
                  <c:v>10.26175415122259</c:v>
                </c:pt>
                <c:pt idx="195">
                  <c:v>10.620739004183633</c:v>
                </c:pt>
                <c:pt idx="196">
                  <c:v>10.986322067293429</c:v>
                </c:pt>
                <c:pt idx="197">
                  <c:v>11.358736821556761</c:v>
                </c:pt>
                <c:pt idx="198">
                  <c:v>11.738229100087153</c:v>
                </c:pt>
                <c:pt idx="199">
                  <c:v>12.125057965097369</c:v>
                </c:pt>
                <c:pt idx="200">
                  <c:v>12.51949666356677</c:v>
                </c:pt>
                <c:pt idx="201">
                  <c:v>12.921833670167189</c:v>
                </c:pt>
                <c:pt idx="202">
                  <c:v>13.332373827138838</c:v>
                </c:pt>
                <c:pt idx="203">
                  <c:v>13.751439592080828</c:v>
                </c:pt>
                <c:pt idx="204">
                  <c:v>14.179372406089499</c:v>
                </c:pt>
                <c:pt idx="205">
                  <c:v>14.616534196379234</c:v>
                </c:pt>
                <c:pt idx="206">
                  <c:v>15.06330902948298</c:v>
                </c:pt>
                <c:pt idx="207">
                  <c:v>15.520104933418509</c:v>
                </c:pt>
                <c:pt idx="208">
                  <c:v>15.98735590987053</c:v>
                </c:pt>
                <c:pt idx="209">
                  <c:v>16.465524160548398</c:v>
                </c:pt>
                <c:pt idx="210">
                  <c:v>16.95510255552955</c:v>
                </c:pt>
                <c:pt idx="211">
                  <c:v>17.456617375686619</c:v>
                </c:pt>
                <c:pt idx="212">
                  <c:v>17.970631366359044</c:v>
                </c:pt>
                <c:pt idx="213">
                  <c:v>18.497747145417122</c:v>
                </c:pt>
                <c:pt idx="214">
                  <c:v>19.038611015987442</c:v>
                </c:pt>
                <c:pt idx="215">
                  <c:v>19.593917242591488</c:v>
                </c:pt>
                <c:pt idx="216">
                  <c:v>20.164412859611957</c:v>
                </c:pt>
                <c:pt idx="217">
                  <c:v>20.750903093211718</c:v>
                </c:pt>
                <c:pt idx="218">
                  <c:v>21.354257492573083</c:v>
                </c:pt>
                <c:pt idx="219">
                  <c:v>21.975416884201195</c:v>
                </c:pt>
                <c:pt idx="220">
                  <c:v>22.615401284811242</c:v>
                </c:pt>
                <c:pt idx="221">
                  <c:v>23.275318934981783</c:v>
                </c:pt>
                <c:pt idx="222">
                  <c:v>23.956376648566049</c:v>
                </c:pt>
                <c:pt idx="223">
                  <c:v>24.659891713449213</c:v>
                </c:pt>
                <c:pt idx="224">
                  <c:v>25.387305629762523</c:v>
                </c:pt>
                <c:pt idx="225">
                  <c:v>26.140200034917882</c:v>
                </c:pt>
                <c:pt idx="226">
                  <c:v>26.920315244533526</c:v>
                </c:pt>
                <c:pt idx="227">
                  <c:v>27.729571939436937</c:v>
                </c:pt>
                <c:pt idx="228">
                  <c:v>28.570096658142631</c:v>
                </c:pt>
                <c:pt idx="229">
                  <c:v>29.444251920577017</c:v>
                </c:pt>
                <c:pt idx="230">
                  <c:v>30.354672024796741</c:v>
                </c:pt>
                <c:pt idx="231">
                  <c:v>31.304305841268899</c:v>
                </c:pt>
                <c:pt idx="232">
                  <c:v>32.296468303078143</c:v>
                </c:pt>
                <c:pt idx="233">
                  <c:v>33.33490278942088</c:v>
                </c:pt>
                <c:pt idx="234">
                  <c:v>34.423857273030933</c:v>
                </c:pt>
                <c:pt idx="235">
                  <c:v>35.56817802116592</c:v>
                </c:pt>
                <c:pt idx="236">
                  <c:v>36.773425909864216</c:v>
                </c:pt>
                <c:pt idx="237">
                  <c:v>38.046022190366728</c:v>
                </c:pt>
                <c:pt idx="238">
                  <c:v>39.393433075859946</c:v>
                </c:pt>
                <c:pt idx="239">
                  <c:v>40.824406170478142</c:v>
                </c:pt>
                <c:pt idx="240">
                  <c:v>42.349277134526062</c:v>
                </c:pt>
                <c:pt idx="241">
                  <c:v>43.980373032998841</c:v>
                </c:pt>
                <c:pt idx="242">
                  <c:v>45.732551149122344</c:v>
                </c:pt>
                <c:pt idx="243">
                  <c:v>47.623931395188322</c:v>
                </c:pt>
                <c:pt idx="244">
                  <c:v>49.676911636601403</c:v>
                </c:pt>
                <c:pt idx="245">
                  <c:v>51.919607046517228</c:v>
                </c:pt>
                <c:pt idx="246">
                  <c:v>54.387943687666336</c:v>
                </c:pt>
                <c:pt idx="247">
                  <c:v>57.128795919888432</c:v>
                </c:pt>
                <c:pt idx="248">
                  <c:v>60.204855996828599</c:v>
                </c:pt>
                <c:pt idx="249">
                  <c:v>63.702515657511753</c:v>
                </c:pt>
                <c:pt idx="250">
                  <c:v>67.74528978121117</c:v>
                </c:pt>
                <c:pt idx="251">
                  <c:v>72.518176625860178</c:v>
                </c:pt>
                <c:pt idx="252">
                  <c:v>78.315612372650889</c:v>
                </c:pt>
                <c:pt idx="253">
                  <c:v>85.646707513394801</c:v>
                </c:pt>
                <c:pt idx="254">
                  <c:v>95.504590994715329</c:v>
                </c:pt>
                <c:pt idx="255">
                  <c:v>110.24218241169154</c:v>
                </c:pt>
                <c:pt idx="256">
                  <c:v>138.03841052582192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E-492B-9DFC-44D4F3923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002015"/>
        <c:axId val="1555003455"/>
      </c:lineChart>
      <c:catAx>
        <c:axId val="155500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5003455"/>
        <c:crosses val="autoZero"/>
        <c:auto val="1"/>
        <c:lblAlgn val="ctr"/>
        <c:lblOffset val="100"/>
        <c:noMultiLvlLbl val="0"/>
      </c:catAx>
      <c:valAx>
        <c:axId val="155500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500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 Temperature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'Parallel Resistor'!$B$12:$B$72</c:f>
              <c:numCache>
                <c:formatCode>0</c:formatCode>
                <c:ptCount val="61"/>
                <c:pt idx="0">
                  <c:v>-29.999999999999915</c:v>
                </c:pt>
                <c:pt idx="1">
                  <c:v>-29.000000000000057</c:v>
                </c:pt>
                <c:pt idx="2">
                  <c:v>-28.000000000000114</c:v>
                </c:pt>
                <c:pt idx="3">
                  <c:v>-26.999999999999943</c:v>
                </c:pt>
                <c:pt idx="4">
                  <c:v>-25.999999999999972</c:v>
                </c:pt>
                <c:pt idx="5">
                  <c:v>-24.999999999999687</c:v>
                </c:pt>
                <c:pt idx="6">
                  <c:v>-23.999999999999972</c:v>
                </c:pt>
                <c:pt idx="7">
                  <c:v>-22.999999999999801</c:v>
                </c:pt>
                <c:pt idx="8">
                  <c:v>-22.000000000000142</c:v>
                </c:pt>
                <c:pt idx="9">
                  <c:v>-20.999999999999545</c:v>
                </c:pt>
                <c:pt idx="10">
                  <c:v>-20.000000000000114</c:v>
                </c:pt>
                <c:pt idx="11">
                  <c:v>-19.000000000000057</c:v>
                </c:pt>
                <c:pt idx="12">
                  <c:v>-18.000000000000057</c:v>
                </c:pt>
                <c:pt idx="13">
                  <c:v>-17</c:v>
                </c:pt>
                <c:pt idx="14">
                  <c:v>-16.000000000000057</c:v>
                </c:pt>
                <c:pt idx="15">
                  <c:v>-14.999999999999602</c:v>
                </c:pt>
                <c:pt idx="16">
                  <c:v>-14.000000000000284</c:v>
                </c:pt>
                <c:pt idx="17">
                  <c:v>-13.000000000000057</c:v>
                </c:pt>
                <c:pt idx="18">
                  <c:v>-11.999999999999659</c:v>
                </c:pt>
                <c:pt idx="19">
                  <c:v>-10.999999999999716</c:v>
                </c:pt>
                <c:pt idx="20">
                  <c:v>-9.9999999999999432</c:v>
                </c:pt>
                <c:pt idx="21">
                  <c:v>-9.0000000000001137</c:v>
                </c:pt>
                <c:pt idx="22">
                  <c:v>-7.9999999999997726</c:v>
                </c:pt>
                <c:pt idx="23">
                  <c:v>-7.0000000000001137</c:v>
                </c:pt>
                <c:pt idx="24">
                  <c:v>-5.9999999999999432</c:v>
                </c:pt>
                <c:pt idx="25">
                  <c:v>-5.0000000000003411</c:v>
                </c:pt>
                <c:pt idx="26">
                  <c:v>-3.9999999999998295</c:v>
                </c:pt>
                <c:pt idx="27">
                  <c:v>-2.9999999999998295</c:v>
                </c:pt>
                <c:pt idx="28">
                  <c:v>-1.9999999999997726</c:v>
                </c:pt>
                <c:pt idx="29">
                  <c:v>-0.99999999999977263</c:v>
                </c:pt>
                <c:pt idx="30">
                  <c:v>0</c:v>
                </c:pt>
                <c:pt idx="31">
                  <c:v>0.99999999999988631</c:v>
                </c:pt>
                <c:pt idx="32">
                  <c:v>2</c:v>
                </c:pt>
                <c:pt idx="33">
                  <c:v>3.0000000000003979</c:v>
                </c:pt>
                <c:pt idx="34">
                  <c:v>4</c:v>
                </c:pt>
                <c:pt idx="35">
                  <c:v>4.9999999999998295</c:v>
                </c:pt>
                <c:pt idx="36">
                  <c:v>5.9999999999998295</c:v>
                </c:pt>
                <c:pt idx="37">
                  <c:v>6.9999999999998863</c:v>
                </c:pt>
                <c:pt idx="38">
                  <c:v>8.0000000000002842</c:v>
                </c:pt>
                <c:pt idx="39">
                  <c:v>8.9999999999997158</c:v>
                </c:pt>
                <c:pt idx="40">
                  <c:v>10.000000000000057</c:v>
                </c:pt>
                <c:pt idx="41">
                  <c:v>11.000000000000171</c:v>
                </c:pt>
                <c:pt idx="42">
                  <c:v>12.000000000000455</c:v>
                </c:pt>
                <c:pt idx="43">
                  <c:v>13.000000000000227</c:v>
                </c:pt>
                <c:pt idx="44">
                  <c:v>14.000000000000284</c:v>
                </c:pt>
                <c:pt idx="45">
                  <c:v>14.999999999999829</c:v>
                </c:pt>
                <c:pt idx="46">
                  <c:v>16.000000000000284</c:v>
                </c:pt>
                <c:pt idx="47">
                  <c:v>16.999999999999659</c:v>
                </c:pt>
                <c:pt idx="48">
                  <c:v>18.000000000000227</c:v>
                </c:pt>
                <c:pt idx="49">
                  <c:v>18.999999999999545</c:v>
                </c:pt>
                <c:pt idx="50">
                  <c:v>20</c:v>
                </c:pt>
                <c:pt idx="51">
                  <c:v>21.000000000000057</c:v>
                </c:pt>
                <c:pt idx="52">
                  <c:v>21.999999999999943</c:v>
                </c:pt>
                <c:pt idx="53">
                  <c:v>23.000000000000171</c:v>
                </c:pt>
                <c:pt idx="54">
                  <c:v>24.000000000000227</c:v>
                </c:pt>
                <c:pt idx="55">
                  <c:v>24.999999999999773</c:v>
                </c:pt>
                <c:pt idx="56">
                  <c:v>25.999999999999943</c:v>
                </c:pt>
                <c:pt idx="57">
                  <c:v>27.000000000000227</c:v>
                </c:pt>
                <c:pt idx="58">
                  <c:v>28.000000000000171</c:v>
                </c:pt>
                <c:pt idx="59">
                  <c:v>28.999999999999886</c:v>
                </c:pt>
                <c:pt idx="60">
                  <c:v>29.999999999999829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A-4036-BB9A-4253CFE84DC1}"/>
            </c:ext>
          </c:extLst>
        </c:ser>
        <c:ser>
          <c:idx val="1"/>
          <c:order val="1"/>
          <c:tx>
            <c:v>Modified Temperature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'Parallel Resistor'!$C$12:$C$72</c:f>
              <c:numCache>
                <c:formatCode>0.0</c:formatCode>
                <c:ptCount val="61"/>
                <c:pt idx="0">
                  <c:v>-15.123281356568441</c:v>
                </c:pt>
                <c:pt idx="1">
                  <c:v>-14.627502053862486</c:v>
                </c:pt>
                <c:pt idx="2">
                  <c:v>-14.118009164304397</c:v>
                </c:pt>
                <c:pt idx="3">
                  <c:v>-13.59488610315168</c:v>
                </c:pt>
                <c:pt idx="4">
                  <c:v>-13.05823583882011</c:v>
                </c:pt>
                <c:pt idx="5">
                  <c:v>-12.508180105461349</c:v>
                </c:pt>
                <c:pt idx="6">
                  <c:v>-11.94485852415994</c:v>
                </c:pt>
                <c:pt idx="7">
                  <c:v>-11.368427644129667</c:v>
                </c:pt>
                <c:pt idx="8">
                  <c:v>-10.779059915827247</c:v>
                </c:pt>
                <c:pt idx="9">
                  <c:v>-10.176942608177399</c:v>
                </c:pt>
                <c:pt idx="10">
                  <c:v>-9.56227668219816</c:v>
                </c:pt>
                <c:pt idx="11">
                  <c:v>-8.9352756331516616</c:v>
                </c:pt>
                <c:pt idx="12">
                  <c:v>-8.2961643130470861</c:v>
                </c:pt>
                <c:pt idx="13">
                  <c:v>-7.6451777447916811</c:v>
                </c:pt>
                <c:pt idx="14">
                  <c:v>-6.9825599386641102</c:v>
                </c:pt>
                <c:pt idx="15">
                  <c:v>-6.3085627210011239</c:v>
                </c:pt>
                <c:pt idx="16">
                  <c:v>-5.6234445841378715</c:v>
                </c:pt>
                <c:pt idx="17">
                  <c:v>-4.9274695656964127</c:v>
                </c:pt>
                <c:pt idx="18">
                  <c:v>-4.2209061643656014</c:v>
                </c:pt>
                <c:pt idx="19">
                  <c:v>-3.5040262982932973</c:v>
                </c:pt>
                <c:pt idx="20">
                  <c:v>-2.7771043112388156</c:v>
                </c:pt>
                <c:pt idx="21">
                  <c:v>-2.0404160306530343</c:v>
                </c:pt>
                <c:pt idx="22">
                  <c:v>-1.2942378809140678</c:v>
                </c:pt>
                <c:pt idx="23">
                  <c:v>-0.53884605406335595</c:v>
                </c:pt>
                <c:pt idx="24">
                  <c:v>0.22548426045187853</c:v>
                </c:pt>
                <c:pt idx="25">
                  <c:v>0.99847958626270383</c:v>
                </c:pt>
                <c:pt idx="26">
                  <c:v>1.7798688107392877</c:v>
                </c:pt>
                <c:pt idx="27">
                  <c:v>2.5693837763575971</c:v>
                </c:pt>
                <c:pt idx="28">
                  <c:v>3.366759813867418</c:v>
                </c:pt>
                <c:pt idx="29">
                  <c:v>4.1717362187862363</c:v>
                </c:pt>
                <c:pt idx="30">
                  <c:v>4.9840566731506328</c:v>
                </c:pt>
                <c:pt idx="31">
                  <c:v>5.8034696147582281</c:v>
                </c:pt>
                <c:pt idx="32">
                  <c:v>6.6297285563857713</c:v>
                </c:pt>
                <c:pt idx="33">
                  <c:v>7.4625923576567743</c:v>
                </c:pt>
                <c:pt idx="34">
                  <c:v>8.3018254523621522</c:v>
                </c:pt>
                <c:pt idx="35">
                  <c:v>9.147198034124699</c:v>
                </c:pt>
                <c:pt idx="36">
                  <c:v>9.99848620332466</c:v>
                </c:pt>
                <c:pt idx="37">
                  <c:v>10.855472078218156</c:v>
                </c:pt>
                <c:pt idx="38">
                  <c:v>11.717943873138211</c:v>
                </c:pt>
                <c:pt idx="39">
                  <c:v>12.585695946607416</c:v>
                </c:pt>
                <c:pt idx="40">
                  <c:v>13.45852882211716</c:v>
                </c:pt>
                <c:pt idx="41">
                  <c:v>14.336249184205428</c:v>
                </c:pt>
                <c:pt idx="42">
                  <c:v>15.218669852380458</c:v>
                </c:pt>
                <c:pt idx="43">
                  <c:v>16.105609735279245</c:v>
                </c:pt>
                <c:pt idx="44">
                  <c:v>16.996893767339884</c:v>
                </c:pt>
                <c:pt idx="45">
                  <c:v>17.892352830108621</c:v>
                </c:pt>
                <c:pt idx="46">
                  <c:v>18.79182366018324</c:v>
                </c:pt>
                <c:pt idx="47">
                  <c:v>19.695148745625431</c:v>
                </c:pt>
                <c:pt idx="48">
                  <c:v>20.602176212572601</c:v>
                </c:pt>
                <c:pt idx="49">
                  <c:v>21.512759703594725</c:v>
                </c:pt>
                <c:pt idx="50">
                  <c:v>22.426758249269085</c:v>
                </c:pt>
                <c:pt idx="51">
                  <c:v>23.344036134251894</c:v>
                </c:pt>
                <c:pt idx="52">
                  <c:v>24.264462759070568</c:v>
                </c:pt>
                <c:pt idx="53">
                  <c:v>25.187912498692413</c:v>
                </c:pt>
                <c:pt idx="54">
                  <c:v>26.114264558845377</c:v>
                </c:pt>
                <c:pt idx="55">
                  <c:v>27.043402830958826</c:v>
                </c:pt>
                <c:pt idx="56">
                  <c:v>27.975215746494598</c:v>
                </c:pt>
                <c:pt idx="57">
                  <c:v>28.909596131344642</c:v>
                </c:pt>
                <c:pt idx="58">
                  <c:v>29.846441060906045</c:v>
                </c:pt>
                <c:pt idx="59">
                  <c:v>30.785651716352675</c:v>
                </c:pt>
                <c:pt idx="60">
                  <c:v>31.727133242559319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A-4036-BB9A-4253CFE84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248175"/>
        <c:axId val="224243375"/>
      </c:lineChart>
      <c:catAx>
        <c:axId val="224248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4243375"/>
        <c:crosses val="autoZero"/>
        <c:auto val="1"/>
        <c:lblAlgn val="ctr"/>
        <c:lblOffset val="100"/>
        <c:noMultiLvlLbl val="0"/>
      </c:catAx>
      <c:valAx>
        <c:axId val="2242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424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</xdr:colOff>
      <xdr:row>0</xdr:row>
      <xdr:rowOff>0</xdr:rowOff>
    </xdr:from>
    <xdr:to>
      <xdr:col>28</xdr:col>
      <xdr:colOff>0</xdr:colOff>
      <xdr:row>47</xdr:row>
      <xdr:rowOff>9524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40464AC-5B77-AA55-948F-3E78C4B78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0</xdr:row>
      <xdr:rowOff>9524</xdr:rowOff>
    </xdr:from>
    <xdr:to>
      <xdr:col>24</xdr:col>
      <xdr:colOff>752475</xdr:colOff>
      <xdr:row>48</xdr:row>
      <xdr:rowOff>190499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99F9BF8-FB35-678B-5F79-BE24A17A6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24</xdr:row>
      <xdr:rowOff>9525</xdr:rowOff>
    </xdr:from>
    <xdr:to>
      <xdr:col>23</xdr:col>
      <xdr:colOff>0</xdr:colOff>
      <xdr:row>56</xdr:row>
      <xdr:rowOff>180974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50CDBB9-728F-A3C0-98B2-731716866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2</xdr:row>
      <xdr:rowOff>9524</xdr:rowOff>
    </xdr:from>
    <xdr:to>
      <xdr:col>20</xdr:col>
      <xdr:colOff>0</xdr:colOff>
      <xdr:row>41</xdr:row>
      <xdr:rowOff>190499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99B85D9-7DFC-36C8-51C4-1C658A91F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2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C5FFF4E-8F68-33EB-9738-E3F3E2D37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0C819-BC9B-4295-BE67-9D1ECEA343F2}" name="Tabelle1" displayName="Tabelle1" ref="A1:G252" totalsRowShown="0">
  <autoFilter ref="A1:G252" xr:uid="{EAC0C819-BC9B-4295-BE67-9D1ECEA343F2}"/>
  <tableColumns count="7">
    <tableColumn id="1" xr3:uid="{50231688-3455-41E6-B825-D6B319D83216}" name="Target Temp." dataDxfId="12"/>
    <tableColumn id="2" xr3:uid="{4E055ECB-5885-4062-B0F2-3B272808445F}" name="Output Temp." dataDxfId="11"/>
    <tableColumn id="3" xr3:uid="{7FF9A0FC-D87E-4C0F-896C-076E50D143E4}" name="Measured Res." dataDxfId="10"/>
    <tableColumn id="4" xr3:uid="{E001D0AB-D82C-44BB-A785-82077C3C61C1}" name="Measured Temp." dataDxfId="9">
      <calculatedColumnFormula>1/('NTC PAW-A2W-TSOD'!$J$12+'NTC PAW-A2W-TSOD'!$J$13*LN(C2)+'NTC PAW-A2W-TSOD'!$J$14*(LN(C2))^3)-273.15</calculatedColumnFormula>
    </tableColumn>
    <tableColumn id="5" xr3:uid="{74416906-716E-412E-B88C-C164207158A5}" name="Delta Target-Output Temp." dataDxfId="8">
      <calculatedColumnFormula>A2-B2</calculatedColumnFormula>
    </tableColumn>
    <tableColumn id="6" xr3:uid="{23A9ADD3-43D2-4900-BAFC-747AC4523E80}" name="Delta Measured-Output Temp." dataDxfId="7">
      <calculatedColumnFormula>D2-B2</calculatedColumnFormula>
    </tableColumn>
    <tableColumn id="7" xr3:uid="{65679B6B-2E08-456F-A69E-47DE0860122A}" name="Delta Target-Measured Temp." dataDxfId="6">
      <calculatedColumnFormula>A2-D2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EBA666-74BE-4DE7-9AE1-15319F164F48}" name="Tabelle3" displayName="Tabelle3" ref="A1:C32" totalsRowShown="0" headerRowDxfId="5" headerRowBorderDxfId="4" tableBorderDxfId="3">
  <autoFilter ref="A1:C32" xr:uid="{5EEBA666-74BE-4DE7-9AE1-15319F164F48}"/>
  <tableColumns count="3">
    <tableColumn id="1" xr3:uid="{CA441784-953B-4BEB-9229-E99E24707408}" name="Temp C" dataDxfId="2"/>
    <tableColumn id="2" xr3:uid="{DF9B5B54-1C02-4736-A33F-FF7440E74333}" name="k Ohm" dataDxfId="1"/>
    <tableColumn id="3" xr3:uid="{26E6E83D-02A2-4D8F-852A-F35CD3D631D6}" name="Ohm" dataDxfId="0">
      <calculatedColumnFormula>B2*1000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4B18-092A-4371-A8E9-7056519DF767}">
  <dimension ref="A1:AG252"/>
  <sheetViews>
    <sheetView tabSelected="1" workbookViewId="0">
      <selection activeCell="H48" sqref="H48"/>
    </sheetView>
  </sheetViews>
  <sheetFormatPr baseColWidth="10" defaultRowHeight="15" x14ac:dyDescent="0.25"/>
  <cols>
    <col min="1" max="1" width="14.7109375" style="1" customWidth="1"/>
    <col min="2" max="2" width="15.42578125" style="1" customWidth="1"/>
    <col min="3" max="3" width="16.140625" style="2" customWidth="1"/>
    <col min="4" max="4" width="18.42578125" style="1" bestFit="1" customWidth="1"/>
    <col min="5" max="5" width="10.140625" style="1" customWidth="1"/>
    <col min="6" max="6" width="8.42578125" style="1" customWidth="1"/>
    <col min="7" max="23" width="9.7109375" style="1" customWidth="1"/>
    <col min="24" max="24" width="12" customWidth="1"/>
    <col min="26" max="30" width="11.42578125" customWidth="1"/>
    <col min="31" max="31" width="12.7109375" bestFit="1" customWidth="1"/>
    <col min="32" max="32" width="11.5703125" bestFit="1" customWidth="1"/>
    <col min="43" max="43" width="20.28515625" bestFit="1" customWidth="1"/>
    <col min="44" max="44" width="11.5703125" bestFit="1" customWidth="1"/>
    <col min="45" max="45" width="10.85546875" bestFit="1" customWidth="1"/>
    <col min="46" max="47" width="12" bestFit="1" customWidth="1"/>
    <col min="48" max="48" width="12.7109375" bestFit="1" customWidth="1"/>
    <col min="49" max="49" width="11.5703125" bestFit="1" customWidth="1"/>
  </cols>
  <sheetData>
    <row r="1" spans="1:33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33" x14ac:dyDescent="0.25">
      <c r="A2" s="1">
        <v>30</v>
      </c>
      <c r="B2" s="1">
        <v>29.71</v>
      </c>
      <c r="C2" s="2">
        <v>5430</v>
      </c>
      <c r="D2" s="1">
        <f>1/('NTC PAW-A2W-TSOD'!$J$12+'NTC PAW-A2W-TSOD'!$J$13*LN(C2)+'NTC PAW-A2W-TSOD'!$J$14*(LN(C2))^3)-273.15</f>
        <v>29.524484165332126</v>
      </c>
      <c r="E2" s="1">
        <f t="shared" ref="E2:E33" si="0">A2-B2</f>
        <v>0.28999999999999915</v>
      </c>
      <c r="F2" s="1">
        <f t="shared" ref="F2:F33" si="1">D2-B2</f>
        <v>-0.18551583466787491</v>
      </c>
      <c r="G2" s="1">
        <f t="shared" ref="G2:G33" si="2">A2-D2</f>
        <v>0.47551583466787406</v>
      </c>
    </row>
    <row r="3" spans="1:33" x14ac:dyDescent="0.25">
      <c r="A3" s="1">
        <v>29.8</v>
      </c>
      <c r="B3" s="1">
        <v>29.71</v>
      </c>
      <c r="C3" s="2">
        <v>5430</v>
      </c>
      <c r="D3" s="1">
        <f>1/('NTC PAW-A2W-TSOD'!$J$12+'NTC PAW-A2W-TSOD'!$J$13*LN(C3)+'NTC PAW-A2W-TSOD'!$J$14*(LN(C3))^3)-273.15</f>
        <v>29.524484165332126</v>
      </c>
      <c r="E3" s="1">
        <f t="shared" si="0"/>
        <v>8.9999999999999858E-2</v>
      </c>
      <c r="F3" s="1">
        <f t="shared" si="1"/>
        <v>-0.18551583466787491</v>
      </c>
      <c r="G3" s="1">
        <f t="shared" si="2"/>
        <v>0.27551583466787477</v>
      </c>
    </row>
    <row r="4" spans="1:33" x14ac:dyDescent="0.25">
      <c r="A4" s="1">
        <v>29.6</v>
      </c>
      <c r="B4" s="1">
        <v>29.71</v>
      </c>
      <c r="C4" s="2">
        <v>5430</v>
      </c>
      <c r="D4" s="1">
        <f>1/('NTC PAW-A2W-TSOD'!$J$12+'NTC PAW-A2W-TSOD'!$J$13*LN(C4)+'NTC PAW-A2W-TSOD'!$J$14*(LN(C4))^3)-273.15</f>
        <v>29.524484165332126</v>
      </c>
      <c r="E4" s="1">
        <f t="shared" si="0"/>
        <v>-0.10999999999999943</v>
      </c>
      <c r="F4" s="1">
        <f t="shared" si="1"/>
        <v>-0.18551583466787491</v>
      </c>
      <c r="G4" s="1">
        <f t="shared" si="2"/>
        <v>7.5515834667875481E-2</v>
      </c>
    </row>
    <row r="5" spans="1:33" x14ac:dyDescent="0.25">
      <c r="A5" s="1">
        <v>29.4</v>
      </c>
      <c r="B5" s="1">
        <v>29.71</v>
      </c>
      <c r="C5" s="2">
        <v>5430</v>
      </c>
      <c r="D5" s="1">
        <f>1/('NTC PAW-A2W-TSOD'!$J$12+'NTC PAW-A2W-TSOD'!$J$13*LN(C5)+'NTC PAW-A2W-TSOD'!$J$14*(LN(C5))^3)-273.15</f>
        <v>29.524484165332126</v>
      </c>
      <c r="E5" s="1">
        <f t="shared" si="0"/>
        <v>-0.31000000000000227</v>
      </c>
      <c r="F5" s="1">
        <f t="shared" si="1"/>
        <v>-0.18551583466787491</v>
      </c>
      <c r="G5" s="1">
        <f t="shared" si="2"/>
        <v>-0.12448416533212736</v>
      </c>
      <c r="W5"/>
    </row>
    <row r="6" spans="1:33" x14ac:dyDescent="0.25">
      <c r="A6" s="1">
        <v>29.2</v>
      </c>
      <c r="B6" s="1">
        <v>28.83</v>
      </c>
      <c r="C6" s="2">
        <v>5615</v>
      </c>
      <c r="D6" s="1">
        <f>1/('NTC PAW-A2W-TSOD'!$J$12+'NTC PAW-A2W-TSOD'!$J$13*LN(C6)+'NTC PAW-A2W-TSOD'!$J$14*(LN(C6))^3)-273.15</f>
        <v>28.689448843712341</v>
      </c>
      <c r="E6" s="1">
        <f t="shared" si="0"/>
        <v>0.37000000000000099</v>
      </c>
      <c r="F6" s="1">
        <f t="shared" si="1"/>
        <v>-0.14055115628765691</v>
      </c>
      <c r="G6" s="1">
        <f t="shared" si="2"/>
        <v>0.5105511562876579</v>
      </c>
    </row>
    <row r="7" spans="1:33" x14ac:dyDescent="0.25">
      <c r="A7" s="1">
        <v>29</v>
      </c>
      <c r="B7" s="1">
        <v>28.83</v>
      </c>
      <c r="C7" s="2">
        <v>5615</v>
      </c>
      <c r="D7" s="1">
        <f>1/('NTC PAW-A2W-TSOD'!$J$12+'NTC PAW-A2W-TSOD'!$J$13*LN(C7)+'NTC PAW-A2W-TSOD'!$J$14*(LN(C7))^3)-273.15</f>
        <v>28.689448843712341</v>
      </c>
      <c r="E7" s="1">
        <f t="shared" si="0"/>
        <v>0.17000000000000171</v>
      </c>
      <c r="F7" s="1">
        <f t="shared" si="1"/>
        <v>-0.14055115628765691</v>
      </c>
      <c r="G7" s="1">
        <f t="shared" si="2"/>
        <v>0.31055115628765861</v>
      </c>
    </row>
    <row r="8" spans="1:33" x14ac:dyDescent="0.25">
      <c r="A8" s="1">
        <v>28.8</v>
      </c>
      <c r="B8" s="1">
        <v>28.83</v>
      </c>
      <c r="C8" s="2">
        <v>5615</v>
      </c>
      <c r="D8" s="1">
        <f>1/('NTC PAW-A2W-TSOD'!$J$12+'NTC PAW-A2W-TSOD'!$J$13*LN(C8)+'NTC PAW-A2W-TSOD'!$J$14*(LN(C8))^3)-273.15</f>
        <v>28.689448843712341</v>
      </c>
      <c r="E8" s="1">
        <f t="shared" si="0"/>
        <v>-2.9999999999997584E-2</v>
      </c>
      <c r="F8" s="1">
        <f t="shared" si="1"/>
        <v>-0.14055115628765691</v>
      </c>
      <c r="G8" s="1">
        <f t="shared" si="2"/>
        <v>0.11055115628765932</v>
      </c>
    </row>
    <row r="9" spans="1:33" x14ac:dyDescent="0.25">
      <c r="A9" s="1">
        <v>28.6</v>
      </c>
      <c r="B9" s="1">
        <v>28.83</v>
      </c>
      <c r="C9" s="2">
        <v>5615</v>
      </c>
      <c r="D9" s="1">
        <f>1/('NTC PAW-A2W-TSOD'!$J$12+'NTC PAW-A2W-TSOD'!$J$13*LN(C9)+'NTC PAW-A2W-TSOD'!$J$14*(LN(C9))^3)-273.15</f>
        <v>28.689448843712341</v>
      </c>
      <c r="E9" s="1">
        <f t="shared" si="0"/>
        <v>-0.22999999999999687</v>
      </c>
      <c r="F9" s="1">
        <f t="shared" si="1"/>
        <v>-0.14055115628765691</v>
      </c>
      <c r="G9" s="1">
        <f t="shared" si="2"/>
        <v>-8.9448843712339965E-2</v>
      </c>
    </row>
    <row r="10" spans="1:33" x14ac:dyDescent="0.25">
      <c r="A10" s="1">
        <v>28.4</v>
      </c>
      <c r="B10" s="1">
        <v>28.83</v>
      </c>
      <c r="C10" s="2">
        <v>5615</v>
      </c>
      <c r="D10" s="1">
        <f>1/('NTC PAW-A2W-TSOD'!$J$12+'NTC PAW-A2W-TSOD'!$J$13*LN(C10)+'NTC PAW-A2W-TSOD'!$J$14*(LN(C10))^3)-273.15</f>
        <v>28.689448843712341</v>
      </c>
      <c r="E10" s="1">
        <f t="shared" si="0"/>
        <v>-0.42999999999999972</v>
      </c>
      <c r="F10" s="1">
        <f t="shared" si="1"/>
        <v>-0.14055115628765691</v>
      </c>
      <c r="G10" s="1">
        <f t="shared" si="2"/>
        <v>-0.28944884371234281</v>
      </c>
    </row>
    <row r="11" spans="1:33" x14ac:dyDescent="0.25">
      <c r="A11" s="1">
        <v>28.2</v>
      </c>
      <c r="B11" s="1">
        <v>27.98</v>
      </c>
      <c r="C11" s="2">
        <v>5808</v>
      </c>
      <c r="D11" s="1">
        <f>1/('NTC PAW-A2W-TSOD'!$J$12+'NTC PAW-A2W-TSOD'!$J$13*LN(C11)+'NTC PAW-A2W-TSOD'!$J$14*(LN(C11))^3)-273.15</f>
        <v>27.851015358749805</v>
      </c>
      <c r="E11" s="1">
        <f t="shared" si="0"/>
        <v>0.21999999999999886</v>
      </c>
      <c r="F11" s="1">
        <f t="shared" si="1"/>
        <v>-0.12898464125019515</v>
      </c>
      <c r="G11" s="1">
        <f t="shared" si="2"/>
        <v>0.34898464125019402</v>
      </c>
    </row>
    <row r="12" spans="1:33" x14ac:dyDescent="0.25">
      <c r="A12" s="1">
        <v>28</v>
      </c>
      <c r="B12" s="1">
        <v>27.98</v>
      </c>
      <c r="C12" s="2">
        <v>5808</v>
      </c>
      <c r="D12" s="1">
        <f>1/('NTC PAW-A2W-TSOD'!$J$12+'NTC PAW-A2W-TSOD'!$J$13*LN(C12)+'NTC PAW-A2W-TSOD'!$J$14*(LN(C12))^3)-273.15</f>
        <v>27.851015358749805</v>
      </c>
      <c r="E12" s="1">
        <f t="shared" si="0"/>
        <v>1.9999999999999574E-2</v>
      </c>
      <c r="F12" s="1">
        <f t="shared" si="1"/>
        <v>-0.12898464125019515</v>
      </c>
      <c r="G12" s="1">
        <f t="shared" si="2"/>
        <v>0.14898464125019473</v>
      </c>
    </row>
    <row r="13" spans="1:33" x14ac:dyDescent="0.25">
      <c r="A13" s="1">
        <v>27.8</v>
      </c>
      <c r="B13" s="1">
        <v>27.98</v>
      </c>
      <c r="C13" s="2">
        <v>5808</v>
      </c>
      <c r="D13" s="1">
        <f>1/('NTC PAW-A2W-TSOD'!$J$12+'NTC PAW-A2W-TSOD'!$J$13*LN(C13)+'NTC PAW-A2W-TSOD'!$J$14*(LN(C13))^3)-273.15</f>
        <v>27.851015358749805</v>
      </c>
      <c r="E13" s="1">
        <f t="shared" si="0"/>
        <v>-0.17999999999999972</v>
      </c>
      <c r="F13" s="1">
        <f t="shared" si="1"/>
        <v>-0.12898464125019515</v>
      </c>
      <c r="G13" s="1">
        <f t="shared" si="2"/>
        <v>-5.1015358749804562E-2</v>
      </c>
      <c r="AG13" s="49"/>
    </row>
    <row r="14" spans="1:33" x14ac:dyDescent="0.25">
      <c r="A14" s="1">
        <v>27.6</v>
      </c>
      <c r="B14" s="1">
        <v>27.98</v>
      </c>
      <c r="C14" s="2">
        <v>5808</v>
      </c>
      <c r="D14" s="1">
        <f>1/('NTC PAW-A2W-TSOD'!$J$12+'NTC PAW-A2W-TSOD'!$J$13*LN(C14)+'NTC PAW-A2W-TSOD'!$J$14*(LN(C14))^3)-273.15</f>
        <v>27.851015358749805</v>
      </c>
      <c r="E14" s="1">
        <f t="shared" si="0"/>
        <v>-0.37999999999999901</v>
      </c>
      <c r="F14" s="1">
        <f t="shared" si="1"/>
        <v>-0.12898464125019515</v>
      </c>
      <c r="G14" s="1">
        <f t="shared" si="2"/>
        <v>-0.25101535874980385</v>
      </c>
      <c r="AG14" s="49"/>
    </row>
    <row r="15" spans="1:33" x14ac:dyDescent="0.25">
      <c r="A15" s="1">
        <v>27.4</v>
      </c>
      <c r="B15" s="1">
        <v>27.16</v>
      </c>
      <c r="C15" s="2">
        <v>6003</v>
      </c>
      <c r="D15" s="1">
        <f>1/('NTC PAW-A2W-TSOD'!$J$12+'NTC PAW-A2W-TSOD'!$J$13*LN(C15)+'NTC PAW-A2W-TSOD'!$J$14*(LN(C15))^3)-273.15</f>
        <v>27.035467728853348</v>
      </c>
      <c r="E15" s="1">
        <f t="shared" si="0"/>
        <v>0.23999999999999844</v>
      </c>
      <c r="F15" s="1">
        <f t="shared" si="1"/>
        <v>-0.12453227114665211</v>
      </c>
      <c r="G15" s="1">
        <f t="shared" si="2"/>
        <v>0.36453227114665054</v>
      </c>
      <c r="AG15" s="49"/>
    </row>
    <row r="16" spans="1:33" x14ac:dyDescent="0.25">
      <c r="A16" s="1">
        <v>27.2</v>
      </c>
      <c r="B16" s="1">
        <v>27.16</v>
      </c>
      <c r="C16" s="2">
        <v>6003</v>
      </c>
      <c r="D16" s="1">
        <f>1/('NTC PAW-A2W-TSOD'!$J$12+'NTC PAW-A2W-TSOD'!$J$13*LN(C16)+'NTC PAW-A2W-TSOD'!$J$14*(LN(C16))^3)-273.15</f>
        <v>27.035467728853348</v>
      </c>
      <c r="E16" s="1">
        <f t="shared" si="0"/>
        <v>3.9999999999999147E-2</v>
      </c>
      <c r="F16" s="1">
        <f t="shared" si="1"/>
        <v>-0.12453227114665211</v>
      </c>
      <c r="G16" s="1">
        <f t="shared" si="2"/>
        <v>0.16453227114665125</v>
      </c>
      <c r="AG16" s="49"/>
    </row>
    <row r="17" spans="1:33" x14ac:dyDescent="0.25">
      <c r="A17" s="1">
        <v>27</v>
      </c>
      <c r="B17" s="1">
        <v>27.16</v>
      </c>
      <c r="C17" s="2">
        <v>6003</v>
      </c>
      <c r="D17" s="1">
        <f>1/('NTC PAW-A2W-TSOD'!$J$12+'NTC PAW-A2W-TSOD'!$J$13*LN(C17)+'NTC PAW-A2W-TSOD'!$J$14*(LN(C17))^3)-273.15</f>
        <v>27.035467728853348</v>
      </c>
      <c r="E17" s="1">
        <f t="shared" si="0"/>
        <v>-0.16000000000000014</v>
      </c>
      <c r="F17" s="1">
        <f t="shared" si="1"/>
        <v>-0.12453227114665211</v>
      </c>
      <c r="G17" s="1">
        <f t="shared" si="2"/>
        <v>-3.5467728853348035E-2</v>
      </c>
      <c r="AG17" s="49"/>
    </row>
    <row r="18" spans="1:33" x14ac:dyDescent="0.25">
      <c r="A18" s="1">
        <v>26.8</v>
      </c>
      <c r="B18" s="1">
        <v>27.16</v>
      </c>
      <c r="C18" s="2">
        <v>6003</v>
      </c>
      <c r="D18" s="1">
        <f>1/('NTC PAW-A2W-TSOD'!$J$12+'NTC PAW-A2W-TSOD'!$J$13*LN(C18)+'NTC PAW-A2W-TSOD'!$J$14*(LN(C18))^3)-273.15</f>
        <v>27.035467728853348</v>
      </c>
      <c r="E18" s="1">
        <f t="shared" si="0"/>
        <v>-0.35999999999999943</v>
      </c>
      <c r="F18" s="1">
        <f t="shared" si="1"/>
        <v>-0.12453227114665211</v>
      </c>
      <c r="G18" s="1">
        <f t="shared" si="2"/>
        <v>-0.23546772885334732</v>
      </c>
      <c r="AG18" s="49"/>
    </row>
    <row r="19" spans="1:33" x14ac:dyDescent="0.25">
      <c r="A19" s="1">
        <v>26.6</v>
      </c>
      <c r="B19" s="1">
        <v>26.37</v>
      </c>
      <c r="C19" s="2">
        <v>6197</v>
      </c>
      <c r="D19" s="1">
        <f>1/('NTC PAW-A2W-TSOD'!$J$12+'NTC PAW-A2W-TSOD'!$J$13*LN(C19)+'NTC PAW-A2W-TSOD'!$J$14*(LN(C19))^3)-273.15</f>
        <v>26.253449918613171</v>
      </c>
      <c r="E19" s="1">
        <f t="shared" si="0"/>
        <v>0.23000000000000043</v>
      </c>
      <c r="F19" s="1">
        <f t="shared" si="1"/>
        <v>-0.11655008138682987</v>
      </c>
      <c r="G19" s="1">
        <f t="shared" si="2"/>
        <v>0.3465500813868303</v>
      </c>
      <c r="AG19" s="49"/>
    </row>
    <row r="20" spans="1:33" x14ac:dyDescent="0.25">
      <c r="A20" s="1">
        <v>26.4</v>
      </c>
      <c r="B20" s="1">
        <v>26.37</v>
      </c>
      <c r="C20" s="2">
        <v>6197</v>
      </c>
      <c r="D20" s="1">
        <f>1/('NTC PAW-A2W-TSOD'!$J$12+'NTC PAW-A2W-TSOD'!$J$13*LN(C20)+'NTC PAW-A2W-TSOD'!$J$14*(LN(C20))^3)-273.15</f>
        <v>26.253449918613171</v>
      </c>
      <c r="E20" s="1">
        <f t="shared" si="0"/>
        <v>2.9999999999997584E-2</v>
      </c>
      <c r="F20" s="1">
        <f t="shared" si="1"/>
        <v>-0.11655008138682987</v>
      </c>
      <c r="G20" s="1">
        <f t="shared" si="2"/>
        <v>0.14655008138682746</v>
      </c>
      <c r="AG20" s="49"/>
    </row>
    <row r="21" spans="1:33" x14ac:dyDescent="0.25">
      <c r="A21" s="1">
        <v>26.2</v>
      </c>
      <c r="B21" s="1">
        <v>26.37</v>
      </c>
      <c r="C21" s="2">
        <v>6197</v>
      </c>
      <c r="D21" s="1">
        <f>1/('NTC PAW-A2W-TSOD'!$J$12+'NTC PAW-A2W-TSOD'!$J$13*LN(C21)+'NTC PAW-A2W-TSOD'!$J$14*(LN(C21))^3)-273.15</f>
        <v>26.253449918613171</v>
      </c>
      <c r="E21" s="1">
        <f t="shared" si="0"/>
        <v>-0.17000000000000171</v>
      </c>
      <c r="F21" s="1">
        <f t="shared" si="1"/>
        <v>-0.11655008138682987</v>
      </c>
      <c r="G21" s="1">
        <f t="shared" si="2"/>
        <v>-5.3449918613171832E-2</v>
      </c>
      <c r="AG21" s="49"/>
    </row>
    <row r="22" spans="1:33" x14ac:dyDescent="0.25">
      <c r="A22" s="1">
        <v>26</v>
      </c>
      <c r="B22" s="1">
        <v>26.37</v>
      </c>
      <c r="C22" s="2">
        <v>6197</v>
      </c>
      <c r="D22" s="1">
        <f>1/('NTC PAW-A2W-TSOD'!$J$12+'NTC PAW-A2W-TSOD'!$J$13*LN(C22)+'NTC PAW-A2W-TSOD'!$J$14*(LN(C22))^3)-273.15</f>
        <v>26.253449918613171</v>
      </c>
      <c r="E22" s="1">
        <f t="shared" si="0"/>
        <v>-0.37000000000000099</v>
      </c>
      <c r="F22" s="1">
        <f t="shared" si="1"/>
        <v>-0.11655008138682987</v>
      </c>
      <c r="G22" s="1">
        <f t="shared" si="2"/>
        <v>-0.25344991861317112</v>
      </c>
    </row>
    <row r="23" spans="1:33" x14ac:dyDescent="0.25">
      <c r="A23" s="1">
        <v>25.8</v>
      </c>
      <c r="B23" s="1">
        <v>25.61</v>
      </c>
      <c r="C23" s="2">
        <v>6390</v>
      </c>
      <c r="D23" s="1">
        <f>1/('NTC PAW-A2W-TSOD'!$J$12+'NTC PAW-A2W-TSOD'!$J$13*LN(C23)+'NTC PAW-A2W-TSOD'!$J$14*(LN(C23))^3)-273.15</f>
        <v>25.502591217156976</v>
      </c>
      <c r="E23" s="1">
        <f t="shared" si="0"/>
        <v>0.19000000000000128</v>
      </c>
      <c r="F23" s="1">
        <f t="shared" si="1"/>
        <v>-0.10740878284302369</v>
      </c>
      <c r="G23" s="1">
        <f t="shared" si="2"/>
        <v>0.29740878284302497</v>
      </c>
    </row>
    <row r="24" spans="1:33" x14ac:dyDescent="0.25">
      <c r="A24" s="1">
        <v>25.6</v>
      </c>
      <c r="B24" s="1">
        <v>25.61</v>
      </c>
      <c r="C24" s="2">
        <v>6390</v>
      </c>
      <c r="D24" s="1">
        <f>1/('NTC PAW-A2W-TSOD'!$J$12+'NTC PAW-A2W-TSOD'!$J$13*LN(C24)+'NTC PAW-A2W-TSOD'!$J$14*(LN(C24))^3)-273.15</f>
        <v>25.502591217156976</v>
      </c>
      <c r="E24" s="1">
        <f t="shared" si="0"/>
        <v>-9.9999999999980105E-3</v>
      </c>
      <c r="F24" s="1">
        <f t="shared" si="1"/>
        <v>-0.10740878284302369</v>
      </c>
      <c r="G24" s="1">
        <f t="shared" si="2"/>
        <v>9.7408782843025676E-2</v>
      </c>
    </row>
    <row r="25" spans="1:33" x14ac:dyDescent="0.25">
      <c r="A25" s="1">
        <v>25.4</v>
      </c>
      <c r="B25" s="1">
        <v>25.61</v>
      </c>
      <c r="C25" s="2">
        <v>6390</v>
      </c>
      <c r="D25" s="1">
        <f>1/('NTC PAW-A2W-TSOD'!$J$12+'NTC PAW-A2W-TSOD'!$J$13*LN(C25)+'NTC PAW-A2W-TSOD'!$J$14*(LN(C25))^3)-273.15</f>
        <v>25.502591217156976</v>
      </c>
      <c r="E25" s="1">
        <f t="shared" si="0"/>
        <v>-0.21000000000000085</v>
      </c>
      <c r="F25" s="1">
        <f t="shared" si="1"/>
        <v>-0.10740878284302369</v>
      </c>
      <c r="G25" s="1">
        <f t="shared" si="2"/>
        <v>-0.10259121715697717</v>
      </c>
    </row>
    <row r="26" spans="1:33" x14ac:dyDescent="0.25">
      <c r="A26" s="1">
        <v>25.2</v>
      </c>
      <c r="B26" s="1">
        <v>24.88</v>
      </c>
      <c r="C26" s="2">
        <v>6570</v>
      </c>
      <c r="D26" s="1">
        <f>1/('NTC PAW-A2W-TSOD'!$J$12+'NTC PAW-A2W-TSOD'!$J$13*LN(C26)+'NTC PAW-A2W-TSOD'!$J$14*(LN(C26))^3)-273.15</f>
        <v>24.825169773520429</v>
      </c>
      <c r="E26" s="1">
        <f t="shared" si="0"/>
        <v>0.32000000000000028</v>
      </c>
      <c r="F26" s="1">
        <f t="shared" si="1"/>
        <v>-5.4830226479570143E-2</v>
      </c>
      <c r="G26" s="1">
        <f t="shared" si="2"/>
        <v>0.37483022647957043</v>
      </c>
    </row>
    <row r="27" spans="1:33" x14ac:dyDescent="0.25">
      <c r="A27" s="1">
        <v>25</v>
      </c>
      <c r="B27" s="1">
        <v>24.88</v>
      </c>
      <c r="C27" s="2">
        <v>6570</v>
      </c>
      <c r="D27" s="1">
        <f>1/('NTC PAW-A2W-TSOD'!$J$12+'NTC PAW-A2W-TSOD'!$J$13*LN(C27)+'NTC PAW-A2W-TSOD'!$J$14*(LN(C27))^3)-273.15</f>
        <v>24.825169773520429</v>
      </c>
      <c r="E27" s="1">
        <f t="shared" si="0"/>
        <v>0.12000000000000099</v>
      </c>
      <c r="F27" s="1">
        <f t="shared" si="1"/>
        <v>-5.4830226479570143E-2</v>
      </c>
      <c r="G27" s="1">
        <f t="shared" si="2"/>
        <v>0.17483022647957114</v>
      </c>
    </row>
    <row r="28" spans="1:33" x14ac:dyDescent="0.25">
      <c r="A28" s="1">
        <v>24.8</v>
      </c>
      <c r="B28" s="1">
        <v>24.88</v>
      </c>
      <c r="C28" s="2">
        <v>6570</v>
      </c>
      <c r="D28" s="1">
        <f>1/('NTC PAW-A2W-TSOD'!$J$12+'NTC PAW-A2W-TSOD'!$J$13*LN(C28)+'NTC PAW-A2W-TSOD'!$J$14*(LN(C28))^3)-273.15</f>
        <v>24.825169773520429</v>
      </c>
      <c r="E28" s="1">
        <f t="shared" si="0"/>
        <v>-7.9999999999998295E-2</v>
      </c>
      <c r="F28" s="1">
        <f t="shared" si="1"/>
        <v>-5.4830226479570143E-2</v>
      </c>
      <c r="G28" s="1">
        <f t="shared" si="2"/>
        <v>-2.5169773520428151E-2</v>
      </c>
    </row>
    <row r="29" spans="1:33" x14ac:dyDescent="0.25">
      <c r="A29" s="1">
        <v>24.6</v>
      </c>
      <c r="B29" s="1">
        <v>24.88</v>
      </c>
      <c r="C29" s="2">
        <v>6570</v>
      </c>
      <c r="D29" s="1">
        <f>1/('NTC PAW-A2W-TSOD'!$J$12+'NTC PAW-A2W-TSOD'!$J$13*LN(C29)+'NTC PAW-A2W-TSOD'!$J$14*(LN(C29))^3)-273.15</f>
        <v>24.825169773520429</v>
      </c>
      <c r="E29" s="1">
        <f t="shared" si="0"/>
        <v>-0.27999999999999758</v>
      </c>
      <c r="F29" s="1">
        <f t="shared" si="1"/>
        <v>-5.4830226479570143E-2</v>
      </c>
      <c r="G29" s="1">
        <f t="shared" si="2"/>
        <v>-0.22516977352042744</v>
      </c>
    </row>
    <row r="30" spans="1:33" x14ac:dyDescent="0.25">
      <c r="A30" s="1">
        <v>24.4</v>
      </c>
      <c r="B30" s="1">
        <v>24.17</v>
      </c>
      <c r="C30" s="2">
        <v>6770</v>
      </c>
      <c r="D30" s="1">
        <f>1/('NTC PAW-A2W-TSOD'!$J$12+'NTC PAW-A2W-TSOD'!$J$13*LN(C30)+'NTC PAW-A2W-TSOD'!$J$14*(LN(C30))^3)-273.15</f>
        <v>24.096771345946422</v>
      </c>
      <c r="E30" s="1">
        <f t="shared" si="0"/>
        <v>0.22999999999999687</v>
      </c>
      <c r="F30" s="1">
        <f t="shared" si="1"/>
        <v>-7.3228654053579589E-2</v>
      </c>
      <c r="G30" s="1">
        <f t="shared" si="2"/>
        <v>0.30322865405357646</v>
      </c>
    </row>
    <row r="31" spans="1:33" x14ac:dyDescent="0.25">
      <c r="A31" s="1">
        <v>24.2</v>
      </c>
      <c r="B31" s="1">
        <v>24.17</v>
      </c>
      <c r="C31" s="2">
        <v>6770</v>
      </c>
      <c r="D31" s="1">
        <f>1/('NTC PAW-A2W-TSOD'!$J$12+'NTC PAW-A2W-TSOD'!$J$13*LN(C31)+'NTC PAW-A2W-TSOD'!$J$14*(LN(C31))^3)-273.15</f>
        <v>24.096771345946422</v>
      </c>
      <c r="E31" s="1">
        <f t="shared" si="0"/>
        <v>2.9999999999997584E-2</v>
      </c>
      <c r="F31" s="1">
        <f t="shared" si="1"/>
        <v>-7.3228654053579589E-2</v>
      </c>
      <c r="G31" s="1">
        <f t="shared" si="2"/>
        <v>0.10322865405357717</v>
      </c>
    </row>
    <row r="32" spans="1:33" x14ac:dyDescent="0.25">
      <c r="A32" s="1">
        <v>24</v>
      </c>
      <c r="B32" s="1">
        <v>24.17</v>
      </c>
      <c r="C32" s="2">
        <v>6770</v>
      </c>
      <c r="D32" s="1">
        <f>1/('NTC PAW-A2W-TSOD'!$J$12+'NTC PAW-A2W-TSOD'!$J$13*LN(C32)+'NTC PAW-A2W-TSOD'!$J$14*(LN(C32))^3)-273.15</f>
        <v>24.096771345946422</v>
      </c>
      <c r="E32" s="1">
        <f t="shared" si="0"/>
        <v>-0.17000000000000171</v>
      </c>
      <c r="F32" s="1">
        <f t="shared" si="1"/>
        <v>-7.3228654053579589E-2</v>
      </c>
      <c r="G32" s="1">
        <f t="shared" si="2"/>
        <v>-9.6771345946422116E-2</v>
      </c>
    </row>
    <row r="33" spans="1:7" x14ac:dyDescent="0.25">
      <c r="A33" s="1">
        <v>23.8</v>
      </c>
      <c r="B33" s="1">
        <v>23.48</v>
      </c>
      <c r="C33" s="2">
        <v>6960</v>
      </c>
      <c r="D33" s="1">
        <f>1/('NTC PAW-A2W-TSOD'!$J$12+'NTC PAW-A2W-TSOD'!$J$13*LN(C33)+'NTC PAW-A2W-TSOD'!$J$14*(LN(C33))^3)-273.15</f>
        <v>23.427073751604496</v>
      </c>
      <c r="E33" s="1">
        <f t="shared" si="0"/>
        <v>0.32000000000000028</v>
      </c>
      <c r="F33" s="1">
        <f t="shared" si="1"/>
        <v>-5.2926248395504416E-2</v>
      </c>
      <c r="G33" s="1">
        <f t="shared" si="2"/>
        <v>0.3729262483955047</v>
      </c>
    </row>
    <row r="34" spans="1:7" x14ac:dyDescent="0.25">
      <c r="A34" s="1">
        <v>23.6</v>
      </c>
      <c r="B34" s="1">
        <v>23.48</v>
      </c>
      <c r="C34" s="2">
        <v>6960</v>
      </c>
      <c r="D34" s="1">
        <f>1/('NTC PAW-A2W-TSOD'!$J$12+'NTC PAW-A2W-TSOD'!$J$13*LN(C34)+'NTC PAW-A2W-TSOD'!$J$14*(LN(C34))^3)-273.15</f>
        <v>23.427073751604496</v>
      </c>
      <c r="E34" s="1">
        <f t="shared" ref="E34:E66" si="3">A34-B34</f>
        <v>0.12000000000000099</v>
      </c>
      <c r="F34" s="1">
        <f t="shared" ref="F34:F66" si="4">D34-B34</f>
        <v>-5.2926248395504416E-2</v>
      </c>
      <c r="G34" s="1">
        <f t="shared" ref="G34:G66" si="5">A34-D34</f>
        <v>0.17292624839550541</v>
      </c>
    </row>
    <row r="35" spans="1:7" x14ac:dyDescent="0.25">
      <c r="A35" s="1">
        <v>23.4</v>
      </c>
      <c r="B35" s="1">
        <v>23.48</v>
      </c>
      <c r="C35" s="2">
        <v>6960</v>
      </c>
      <c r="D35" s="1">
        <f>1/('NTC PAW-A2W-TSOD'!$J$12+'NTC PAW-A2W-TSOD'!$J$13*LN(C35)+'NTC PAW-A2W-TSOD'!$J$14*(LN(C35))^3)-273.15</f>
        <v>23.427073751604496</v>
      </c>
      <c r="E35" s="1">
        <f t="shared" si="3"/>
        <v>-8.0000000000001847E-2</v>
      </c>
      <c r="F35" s="1">
        <f t="shared" si="4"/>
        <v>-5.2926248395504416E-2</v>
      </c>
      <c r="G35" s="1">
        <f t="shared" si="5"/>
        <v>-2.7073751604497431E-2</v>
      </c>
    </row>
    <row r="36" spans="1:7" x14ac:dyDescent="0.25">
      <c r="A36" s="1">
        <v>23.2</v>
      </c>
      <c r="B36" s="1">
        <v>23.48</v>
      </c>
      <c r="C36" s="2">
        <v>6960</v>
      </c>
      <c r="D36" s="1">
        <f>1/('NTC PAW-A2W-TSOD'!$J$12+'NTC PAW-A2W-TSOD'!$J$13*LN(C36)+'NTC PAW-A2W-TSOD'!$J$14*(LN(C36))^3)-273.15</f>
        <v>23.427073751604496</v>
      </c>
      <c r="E36" s="1">
        <f t="shared" si="3"/>
        <v>-0.28000000000000114</v>
      </c>
      <c r="F36" s="1">
        <f t="shared" si="4"/>
        <v>-5.2926248395504416E-2</v>
      </c>
      <c r="G36" s="1">
        <f t="shared" si="5"/>
        <v>-0.22707375160449672</v>
      </c>
    </row>
    <row r="37" spans="1:7" x14ac:dyDescent="0.25">
      <c r="A37" s="1">
        <v>23</v>
      </c>
      <c r="B37" s="1">
        <v>22.81</v>
      </c>
      <c r="C37" s="2">
        <v>7160</v>
      </c>
      <c r="D37" s="1">
        <f>1/('NTC PAW-A2W-TSOD'!$J$12+'NTC PAW-A2W-TSOD'!$J$13*LN(C37)+'NTC PAW-A2W-TSOD'!$J$14*(LN(C37))^3)-273.15</f>
        <v>22.744184044704241</v>
      </c>
      <c r="E37" s="1">
        <f t="shared" si="3"/>
        <v>0.19000000000000128</v>
      </c>
      <c r="F37" s="1">
        <f t="shared" si="4"/>
        <v>-6.5815955295757789E-2</v>
      </c>
      <c r="G37" s="1">
        <f t="shared" si="5"/>
        <v>0.25581595529575907</v>
      </c>
    </row>
    <row r="38" spans="1:7" x14ac:dyDescent="0.25">
      <c r="A38" s="1">
        <v>22.8</v>
      </c>
      <c r="B38" s="1">
        <v>22.81</v>
      </c>
      <c r="C38" s="2">
        <v>7160</v>
      </c>
      <c r="D38" s="1">
        <f>1/('NTC PAW-A2W-TSOD'!$J$12+'NTC PAW-A2W-TSOD'!$J$13*LN(C38)+'NTC PAW-A2W-TSOD'!$J$14*(LN(C38))^3)-273.15</f>
        <v>22.744184044704241</v>
      </c>
      <c r="E38" s="1">
        <f t="shared" si="3"/>
        <v>-9.9999999999980105E-3</v>
      </c>
      <c r="F38" s="1">
        <f t="shared" si="4"/>
        <v>-6.5815955295757789E-2</v>
      </c>
      <c r="G38" s="1">
        <f t="shared" si="5"/>
        <v>5.5815955295759778E-2</v>
      </c>
    </row>
    <row r="39" spans="1:7" x14ac:dyDescent="0.25">
      <c r="A39" s="1">
        <v>22.6</v>
      </c>
      <c r="B39" s="1">
        <v>22.81</v>
      </c>
      <c r="C39" s="2">
        <v>7160</v>
      </c>
      <c r="D39" s="1">
        <f>1/('NTC PAW-A2W-TSOD'!$J$12+'NTC PAW-A2W-TSOD'!$J$13*LN(C39)+'NTC PAW-A2W-TSOD'!$J$14*(LN(C39))^3)-273.15</f>
        <v>22.744184044704241</v>
      </c>
      <c r="E39" s="1">
        <f t="shared" si="3"/>
        <v>-0.2099999999999973</v>
      </c>
      <c r="F39" s="1">
        <f t="shared" si="4"/>
        <v>-6.5815955295757789E-2</v>
      </c>
      <c r="G39" s="1">
        <f t="shared" si="5"/>
        <v>-0.14418404470423951</v>
      </c>
    </row>
    <row r="40" spans="1:7" x14ac:dyDescent="0.25">
      <c r="A40" s="1">
        <v>22.4</v>
      </c>
      <c r="B40" s="1">
        <v>22.17</v>
      </c>
      <c r="C40" s="2">
        <v>7350</v>
      </c>
      <c r="D40" s="1">
        <f>1/('NTC PAW-A2W-TSOD'!$J$12+'NTC PAW-A2W-TSOD'!$J$13*LN(C40)+'NTC PAW-A2W-TSOD'!$J$14*(LN(C40))^3)-273.15</f>
        <v>22.115195604639837</v>
      </c>
      <c r="E40" s="1">
        <f t="shared" si="3"/>
        <v>0.22999999999999687</v>
      </c>
      <c r="F40" s="1">
        <f t="shared" si="4"/>
        <v>-5.4804395360164904E-2</v>
      </c>
      <c r="G40" s="1">
        <f t="shared" si="5"/>
        <v>0.28480439536016178</v>
      </c>
    </row>
    <row r="41" spans="1:7" x14ac:dyDescent="0.25">
      <c r="A41" s="1">
        <v>22.2</v>
      </c>
      <c r="B41" s="1">
        <v>22.17</v>
      </c>
      <c r="C41" s="2">
        <v>7350</v>
      </c>
      <c r="D41" s="1">
        <f>1/('NTC PAW-A2W-TSOD'!$J$12+'NTC PAW-A2W-TSOD'!$J$13*LN(C41)+'NTC PAW-A2W-TSOD'!$J$14*(LN(C41))^3)-273.15</f>
        <v>22.115195604639837</v>
      </c>
      <c r="E41" s="1">
        <f t="shared" si="3"/>
        <v>2.9999999999997584E-2</v>
      </c>
      <c r="F41" s="1">
        <f t="shared" si="4"/>
        <v>-5.4804395360164904E-2</v>
      </c>
      <c r="G41" s="1">
        <f t="shared" si="5"/>
        <v>8.4804395360162488E-2</v>
      </c>
    </row>
    <row r="42" spans="1:7" x14ac:dyDescent="0.25">
      <c r="A42" s="1">
        <v>22</v>
      </c>
      <c r="B42" s="1">
        <v>22.17</v>
      </c>
      <c r="C42" s="2">
        <v>7350</v>
      </c>
      <c r="D42" s="1">
        <f>1/('NTC PAW-A2W-TSOD'!$J$12+'NTC PAW-A2W-TSOD'!$J$13*LN(C42)+'NTC PAW-A2W-TSOD'!$J$14*(LN(C42))^3)-273.15</f>
        <v>22.115195604639837</v>
      </c>
      <c r="E42" s="1">
        <f t="shared" si="3"/>
        <v>-0.17000000000000171</v>
      </c>
      <c r="F42" s="1">
        <f t="shared" si="4"/>
        <v>-5.4804395360164904E-2</v>
      </c>
      <c r="G42" s="1">
        <f t="shared" si="5"/>
        <v>-0.1151956046398368</v>
      </c>
    </row>
    <row r="43" spans="1:7" x14ac:dyDescent="0.25">
      <c r="A43" s="1">
        <v>21.8</v>
      </c>
      <c r="B43" s="1">
        <v>21.54</v>
      </c>
      <c r="C43" s="2">
        <v>7540</v>
      </c>
      <c r="D43" s="1">
        <f>1/('NTC PAW-A2W-TSOD'!$J$12+'NTC PAW-A2W-TSOD'!$J$13*LN(C43)+'NTC PAW-A2W-TSOD'!$J$14*(LN(C43))^3)-273.15</f>
        <v>21.504387164293462</v>
      </c>
      <c r="E43" s="1">
        <f t="shared" si="3"/>
        <v>0.26000000000000156</v>
      </c>
      <c r="F43" s="1">
        <f t="shared" si="4"/>
        <v>-3.5612835706537282E-2</v>
      </c>
      <c r="G43" s="1">
        <f t="shared" si="5"/>
        <v>0.29561283570653885</v>
      </c>
    </row>
    <row r="44" spans="1:7" x14ac:dyDescent="0.25">
      <c r="A44" s="1">
        <v>21.6</v>
      </c>
      <c r="B44" s="1">
        <v>21.54</v>
      </c>
      <c r="C44" s="2">
        <v>7540</v>
      </c>
      <c r="D44" s="1">
        <f>1/('NTC PAW-A2W-TSOD'!$J$12+'NTC PAW-A2W-TSOD'!$J$13*LN(C44)+'NTC PAW-A2W-TSOD'!$J$14*(LN(C44))^3)-273.15</f>
        <v>21.504387164293462</v>
      </c>
      <c r="E44" s="1">
        <f t="shared" si="3"/>
        <v>6.0000000000002274E-2</v>
      </c>
      <c r="F44" s="1">
        <f t="shared" si="4"/>
        <v>-3.5612835706537282E-2</v>
      </c>
      <c r="G44" s="1">
        <f t="shared" si="5"/>
        <v>9.5612835706539556E-2</v>
      </c>
    </row>
    <row r="45" spans="1:7" x14ac:dyDescent="0.25">
      <c r="A45" s="1">
        <v>21.4</v>
      </c>
      <c r="B45" s="1">
        <v>21.54</v>
      </c>
      <c r="C45" s="2">
        <v>7540</v>
      </c>
      <c r="D45" s="1">
        <f>1/('NTC PAW-A2W-TSOD'!$J$12+'NTC PAW-A2W-TSOD'!$J$13*LN(C45)+'NTC PAW-A2W-TSOD'!$J$14*(LN(C45))^3)-273.15</f>
        <v>21.504387164293462</v>
      </c>
      <c r="E45" s="1">
        <f t="shared" si="3"/>
        <v>-0.14000000000000057</v>
      </c>
      <c r="F45" s="1">
        <f t="shared" si="4"/>
        <v>-3.5612835706537282E-2</v>
      </c>
      <c r="G45" s="1">
        <f t="shared" si="5"/>
        <v>-0.10438716429346329</v>
      </c>
    </row>
    <row r="46" spans="1:7" x14ac:dyDescent="0.25">
      <c r="A46" s="1">
        <v>21.2</v>
      </c>
      <c r="B46" s="1">
        <v>20.93</v>
      </c>
      <c r="C46" s="2">
        <v>7730</v>
      </c>
      <c r="D46" s="1">
        <f>1/('NTC PAW-A2W-TSOD'!$J$12+'NTC PAW-A2W-TSOD'!$J$13*LN(C46)+'NTC PAW-A2W-TSOD'!$J$14*(LN(C46))^3)-273.15</f>
        <v>20.910790370693917</v>
      </c>
      <c r="E46" s="1">
        <f t="shared" si="3"/>
        <v>0.26999999999999957</v>
      </c>
      <c r="F46" s="1">
        <f t="shared" si="4"/>
        <v>-1.9209629306082832E-2</v>
      </c>
      <c r="G46" s="1">
        <f t="shared" si="5"/>
        <v>0.28920962930608241</v>
      </c>
    </row>
    <row r="47" spans="1:7" x14ac:dyDescent="0.25">
      <c r="A47" s="1">
        <v>21</v>
      </c>
      <c r="B47" s="1">
        <v>20.93</v>
      </c>
      <c r="C47" s="2">
        <v>7730</v>
      </c>
      <c r="D47" s="1">
        <f>1/('NTC PAW-A2W-TSOD'!$J$12+'NTC PAW-A2W-TSOD'!$J$13*LN(C47)+'NTC PAW-A2W-TSOD'!$J$14*(LN(C47))^3)-273.15</f>
        <v>20.910790370693917</v>
      </c>
      <c r="E47" s="1">
        <f t="shared" si="3"/>
        <v>7.0000000000000284E-2</v>
      </c>
      <c r="F47" s="1">
        <f t="shared" si="4"/>
        <v>-1.9209629306082832E-2</v>
      </c>
      <c r="G47" s="1">
        <f t="shared" si="5"/>
        <v>8.9209629306083116E-2</v>
      </c>
    </row>
    <row r="48" spans="1:7" x14ac:dyDescent="0.25">
      <c r="A48" s="1">
        <v>20.8</v>
      </c>
      <c r="B48" s="1">
        <v>20.93</v>
      </c>
      <c r="C48" s="2">
        <v>7730</v>
      </c>
      <c r="D48" s="1">
        <f>1/('NTC PAW-A2W-TSOD'!$J$12+'NTC PAW-A2W-TSOD'!$J$13*LN(C48)+'NTC PAW-A2W-TSOD'!$J$14*(LN(C48))^3)-273.15</f>
        <v>20.910790370693917</v>
      </c>
      <c r="E48" s="1">
        <f t="shared" si="3"/>
        <v>-0.12999999999999901</v>
      </c>
      <c r="F48" s="1">
        <f t="shared" si="4"/>
        <v>-1.9209629306082832E-2</v>
      </c>
      <c r="G48" s="1">
        <f t="shared" si="5"/>
        <v>-0.11079037069391617</v>
      </c>
    </row>
    <row r="49" spans="1:7" x14ac:dyDescent="0.25">
      <c r="A49" s="1">
        <v>20.6</v>
      </c>
      <c r="B49" s="1">
        <v>20.34</v>
      </c>
      <c r="C49" s="2">
        <v>7920</v>
      </c>
      <c r="D49" s="1">
        <f>1/('NTC PAW-A2W-TSOD'!$J$12+'NTC PAW-A2W-TSOD'!$J$13*LN(C49)+'NTC PAW-A2W-TSOD'!$J$14*(LN(C49))^3)-273.15</f>
        <v>20.333510804800596</v>
      </c>
      <c r="E49" s="1">
        <f t="shared" si="3"/>
        <v>0.26000000000000156</v>
      </c>
      <c r="F49" s="1">
        <f t="shared" si="4"/>
        <v>-6.4891951994034969E-3</v>
      </c>
      <c r="G49" s="1">
        <f t="shared" si="5"/>
        <v>0.26648919519940506</v>
      </c>
    </row>
    <row r="50" spans="1:7" x14ac:dyDescent="0.25">
      <c r="A50" s="1">
        <v>20.399999999999999</v>
      </c>
      <c r="B50" s="1">
        <v>20.34</v>
      </c>
      <c r="C50" s="2">
        <v>7920</v>
      </c>
      <c r="D50" s="1">
        <f>1/('NTC PAW-A2W-TSOD'!$J$12+'NTC PAW-A2W-TSOD'!$J$13*LN(C50)+'NTC PAW-A2W-TSOD'!$J$14*(LN(C50))^3)-273.15</f>
        <v>20.333510804800596</v>
      </c>
      <c r="E50" s="1">
        <f t="shared" si="3"/>
        <v>5.9999999999998721E-2</v>
      </c>
      <c r="F50" s="1">
        <f t="shared" si="4"/>
        <v>-6.4891951994034969E-3</v>
      </c>
      <c r="G50" s="1">
        <f t="shared" si="5"/>
        <v>6.6489195199402218E-2</v>
      </c>
    </row>
    <row r="51" spans="1:7" x14ac:dyDescent="0.25">
      <c r="A51" s="1">
        <v>20.2</v>
      </c>
      <c r="B51" s="1">
        <v>20.34</v>
      </c>
      <c r="C51" s="2">
        <v>7920</v>
      </c>
      <c r="D51" s="1">
        <f>1/('NTC PAW-A2W-TSOD'!$J$12+'NTC PAW-A2W-TSOD'!$J$13*LN(C51)+'NTC PAW-A2W-TSOD'!$J$14*(LN(C51))^3)-273.15</f>
        <v>20.333510804800596</v>
      </c>
      <c r="E51" s="1">
        <f t="shared" si="3"/>
        <v>-0.14000000000000057</v>
      </c>
      <c r="F51" s="1">
        <f t="shared" si="4"/>
        <v>-6.4891951994034969E-3</v>
      </c>
      <c r="G51" s="1">
        <f t="shared" si="5"/>
        <v>-0.13351080480059707</v>
      </c>
    </row>
    <row r="52" spans="1:7" x14ac:dyDescent="0.25">
      <c r="A52" s="1">
        <v>20</v>
      </c>
      <c r="B52" s="1">
        <v>19.760000000000002</v>
      </c>
      <c r="C52" s="2">
        <v>8110</v>
      </c>
      <c r="D52" s="1">
        <f>1/('NTC PAW-A2W-TSOD'!$J$12+'NTC PAW-A2W-TSOD'!$J$13*LN(C52)+'NTC PAW-A2W-TSOD'!$J$14*(LN(C52))^3)-273.15</f>
        <v>19.771720713347065</v>
      </c>
      <c r="E52" s="1">
        <f t="shared" si="3"/>
        <v>0.23999999999999844</v>
      </c>
      <c r="F52" s="1">
        <f t="shared" si="4"/>
        <v>1.1720713347063594E-2</v>
      </c>
      <c r="G52" s="1">
        <f t="shared" si="5"/>
        <v>0.22827928665293484</v>
      </c>
    </row>
    <row r="53" spans="1:7" x14ac:dyDescent="0.25">
      <c r="A53" s="1">
        <v>19.8</v>
      </c>
      <c r="B53" s="1">
        <v>19.760000000000002</v>
      </c>
      <c r="C53" s="2">
        <v>8110</v>
      </c>
      <c r="D53" s="1">
        <f>1/('NTC PAW-A2W-TSOD'!$J$12+'NTC PAW-A2W-TSOD'!$J$13*LN(C53)+'NTC PAW-A2W-TSOD'!$J$14*(LN(C53))^3)-273.15</f>
        <v>19.771720713347065</v>
      </c>
      <c r="E53" s="1">
        <f t="shared" si="3"/>
        <v>3.9999999999999147E-2</v>
      </c>
      <c r="F53" s="1">
        <f t="shared" si="4"/>
        <v>1.1720713347063594E-2</v>
      </c>
      <c r="G53" s="1">
        <f t="shared" si="5"/>
        <v>2.8279286652935554E-2</v>
      </c>
    </row>
    <row r="54" spans="1:7" x14ac:dyDescent="0.25">
      <c r="A54" s="1">
        <v>19.600000000000001</v>
      </c>
      <c r="B54" s="1">
        <v>19.760000000000002</v>
      </c>
      <c r="C54" s="2">
        <v>8110</v>
      </c>
      <c r="D54" s="1">
        <f>1/('NTC PAW-A2W-TSOD'!$J$12+'NTC PAW-A2W-TSOD'!$J$13*LN(C54)+'NTC PAW-A2W-TSOD'!$J$14*(LN(C54))^3)-273.15</f>
        <v>19.771720713347065</v>
      </c>
      <c r="E54" s="1">
        <f t="shared" si="3"/>
        <v>-0.16000000000000014</v>
      </c>
      <c r="F54" s="1">
        <f t="shared" si="4"/>
        <v>1.1720713347063594E-2</v>
      </c>
      <c r="G54" s="1">
        <f t="shared" si="5"/>
        <v>-0.17172071334706374</v>
      </c>
    </row>
    <row r="55" spans="1:7" x14ac:dyDescent="0.25">
      <c r="A55" s="1">
        <v>19.399999999999999</v>
      </c>
      <c r="B55" s="1">
        <v>19.2</v>
      </c>
      <c r="C55" s="2">
        <v>8310</v>
      </c>
      <c r="D55" s="1">
        <f>1/('NTC PAW-A2W-TSOD'!$J$12+'NTC PAW-A2W-TSOD'!$J$13*LN(C55)+'NTC PAW-A2W-TSOD'!$J$14*(LN(C55))^3)-273.15</f>
        <v>19.196253618020705</v>
      </c>
      <c r="E55" s="1">
        <f t="shared" si="3"/>
        <v>0.19999999999999929</v>
      </c>
      <c r="F55" s="1">
        <f t="shared" si="4"/>
        <v>-3.7463819792940001E-3</v>
      </c>
      <c r="G55" s="1">
        <f t="shared" si="5"/>
        <v>0.20374638197929329</v>
      </c>
    </row>
    <row r="56" spans="1:7" x14ac:dyDescent="0.25">
      <c r="A56" s="1">
        <v>19.2</v>
      </c>
      <c r="B56" s="1">
        <v>19.2</v>
      </c>
      <c r="C56" s="2">
        <v>8310</v>
      </c>
      <c r="D56" s="1">
        <f>1/('NTC PAW-A2W-TSOD'!$J$12+'NTC PAW-A2W-TSOD'!$J$13*LN(C56)+'NTC PAW-A2W-TSOD'!$J$14*(LN(C56))^3)-273.15</f>
        <v>19.196253618020705</v>
      </c>
      <c r="E56" s="1">
        <f t="shared" si="3"/>
        <v>0</v>
      </c>
      <c r="F56" s="1">
        <f t="shared" si="4"/>
        <v>-3.7463819792940001E-3</v>
      </c>
      <c r="G56" s="1">
        <f t="shared" si="5"/>
        <v>3.7463819792940001E-3</v>
      </c>
    </row>
    <row r="57" spans="1:7" x14ac:dyDescent="0.25">
      <c r="A57" s="1">
        <v>19</v>
      </c>
      <c r="B57" s="1">
        <v>19.2</v>
      </c>
      <c r="C57" s="2">
        <v>8310</v>
      </c>
      <c r="D57" s="1">
        <f>1/('NTC PAW-A2W-TSOD'!$J$12+'NTC PAW-A2W-TSOD'!$J$13*LN(C57)+'NTC PAW-A2W-TSOD'!$J$14*(LN(C57))^3)-273.15</f>
        <v>19.196253618020705</v>
      </c>
      <c r="E57" s="1">
        <f t="shared" si="3"/>
        <v>-0.19999999999999929</v>
      </c>
      <c r="F57" s="1">
        <f t="shared" si="4"/>
        <v>-3.7463819792940001E-3</v>
      </c>
      <c r="G57" s="1">
        <f t="shared" si="5"/>
        <v>-0.19625361802070529</v>
      </c>
    </row>
    <row r="58" spans="1:7" x14ac:dyDescent="0.25">
      <c r="A58" s="1">
        <v>18.8</v>
      </c>
      <c r="B58" s="1">
        <v>18.66</v>
      </c>
      <c r="C58" s="2">
        <v>8490</v>
      </c>
      <c r="D58" s="1">
        <f>1/('NTC PAW-A2W-TSOD'!$J$12+'NTC PAW-A2W-TSOD'!$J$13*LN(C58)+'NTC PAW-A2W-TSOD'!$J$14*(LN(C58))^3)-273.15</f>
        <v>18.691593605953301</v>
      </c>
      <c r="E58" s="1">
        <f t="shared" si="3"/>
        <v>0.14000000000000057</v>
      </c>
      <c r="F58" s="1">
        <f t="shared" si="4"/>
        <v>3.1593605953300852E-2</v>
      </c>
      <c r="G58" s="1">
        <f t="shared" si="5"/>
        <v>0.10840639404669972</v>
      </c>
    </row>
    <row r="59" spans="1:7" x14ac:dyDescent="0.25">
      <c r="A59" s="1">
        <v>18.600000000000001</v>
      </c>
      <c r="B59" s="1">
        <v>18.66</v>
      </c>
      <c r="C59" s="2">
        <v>8490</v>
      </c>
      <c r="D59" s="1">
        <f>1/('NTC PAW-A2W-TSOD'!$J$12+'NTC PAW-A2W-TSOD'!$J$13*LN(C59)+'NTC PAW-A2W-TSOD'!$J$14*(LN(C59))^3)-273.15</f>
        <v>18.691593605953301</v>
      </c>
      <c r="E59" s="1">
        <f t="shared" si="3"/>
        <v>-5.9999999999998721E-2</v>
      </c>
      <c r="F59" s="1">
        <f t="shared" si="4"/>
        <v>3.1593605953300852E-2</v>
      </c>
      <c r="G59" s="1">
        <f t="shared" si="5"/>
        <v>-9.1593605953299573E-2</v>
      </c>
    </row>
    <row r="60" spans="1:7" x14ac:dyDescent="0.25">
      <c r="A60" s="1">
        <v>18.399999999999999</v>
      </c>
      <c r="B60" s="1">
        <v>18.66</v>
      </c>
      <c r="C60" s="2">
        <v>8490</v>
      </c>
      <c r="D60" s="1">
        <f>1/('NTC PAW-A2W-TSOD'!$J$12+'NTC PAW-A2W-TSOD'!$J$13*LN(C60)+'NTC PAW-A2W-TSOD'!$J$14*(LN(C60))^3)-273.15</f>
        <v>18.691593605953301</v>
      </c>
      <c r="E60" s="1">
        <f t="shared" si="3"/>
        <v>-0.26000000000000156</v>
      </c>
      <c r="F60" s="1">
        <f t="shared" si="4"/>
        <v>3.1593605953300852E-2</v>
      </c>
      <c r="G60" s="1">
        <f t="shared" si="5"/>
        <v>-0.29159360595330241</v>
      </c>
    </row>
    <row r="61" spans="1:7" x14ac:dyDescent="0.25">
      <c r="A61" s="1">
        <v>18.2</v>
      </c>
      <c r="B61" s="1">
        <v>18.13</v>
      </c>
      <c r="C61" s="2">
        <v>8690</v>
      </c>
      <c r="D61" s="1">
        <f>1/('NTC PAW-A2W-TSOD'!$J$12+'NTC PAW-A2W-TSOD'!$J$13*LN(C61)+'NTC PAW-A2W-TSOD'!$J$14*(LN(C61))^3)-273.15</f>
        <v>18.144884884225576</v>
      </c>
      <c r="E61" s="1">
        <f t="shared" si="3"/>
        <v>7.0000000000000284E-2</v>
      </c>
      <c r="F61" s="1">
        <f t="shared" si="4"/>
        <v>1.4884884225576656E-2</v>
      </c>
      <c r="G61" s="1">
        <f t="shared" si="5"/>
        <v>5.5115115774423629E-2</v>
      </c>
    </row>
    <row r="62" spans="1:7" x14ac:dyDescent="0.25">
      <c r="A62" s="1">
        <v>18</v>
      </c>
      <c r="B62" s="1">
        <v>18.13</v>
      </c>
      <c r="C62" s="2">
        <v>8690</v>
      </c>
      <c r="D62" s="1">
        <f>1/('NTC PAW-A2W-TSOD'!$J$12+'NTC PAW-A2W-TSOD'!$J$13*LN(C62)+'NTC PAW-A2W-TSOD'!$J$14*(LN(C62))^3)-273.15</f>
        <v>18.144884884225576</v>
      </c>
      <c r="E62" s="1">
        <f t="shared" si="3"/>
        <v>-0.12999999999999901</v>
      </c>
      <c r="F62" s="1">
        <f t="shared" si="4"/>
        <v>1.4884884225576656E-2</v>
      </c>
      <c r="G62" s="1">
        <f t="shared" si="5"/>
        <v>-0.14488488422557566</v>
      </c>
    </row>
    <row r="63" spans="1:7" x14ac:dyDescent="0.25">
      <c r="A63" s="1">
        <v>17.8</v>
      </c>
      <c r="B63" s="1">
        <v>17.61</v>
      </c>
      <c r="C63" s="2">
        <v>8880</v>
      </c>
      <c r="D63" s="1">
        <f>1/('NTC PAW-A2W-TSOD'!$J$12+'NTC PAW-A2W-TSOD'!$J$13*LN(C63)+'NTC PAW-A2W-TSOD'!$J$14*(LN(C63))^3)-273.15</f>
        <v>17.638552939615579</v>
      </c>
      <c r="E63" s="1">
        <f t="shared" si="3"/>
        <v>0.19000000000000128</v>
      </c>
      <c r="F63" s="1">
        <f t="shared" si="4"/>
        <v>2.8552939615579476E-2</v>
      </c>
      <c r="G63" s="1">
        <f t="shared" si="5"/>
        <v>0.1614470603844218</v>
      </c>
    </row>
    <row r="64" spans="1:7" x14ac:dyDescent="0.25">
      <c r="A64" s="1">
        <v>17.600000000000001</v>
      </c>
      <c r="B64" s="1">
        <v>17.61</v>
      </c>
      <c r="C64" s="2">
        <v>8880</v>
      </c>
      <c r="D64" s="1">
        <f>1/('NTC PAW-A2W-TSOD'!$J$12+'NTC PAW-A2W-TSOD'!$J$13*LN(C64)+'NTC PAW-A2W-TSOD'!$J$14*(LN(C64))^3)-273.15</f>
        <v>17.638552939615579</v>
      </c>
      <c r="E64" s="1">
        <f t="shared" si="3"/>
        <v>-9.9999999999980105E-3</v>
      </c>
      <c r="F64" s="1">
        <f t="shared" si="4"/>
        <v>2.8552939615579476E-2</v>
      </c>
      <c r="G64" s="1">
        <f t="shared" si="5"/>
        <v>-3.8552939615577486E-2</v>
      </c>
    </row>
    <row r="65" spans="1:7" x14ac:dyDescent="0.25">
      <c r="A65" s="1">
        <v>17.399999999999999</v>
      </c>
      <c r="B65" s="1">
        <v>17.61</v>
      </c>
      <c r="C65" s="2">
        <v>8880</v>
      </c>
      <c r="D65" s="1">
        <f>1/('NTC PAW-A2W-TSOD'!$J$12+'NTC PAW-A2W-TSOD'!$J$13*LN(C65)+'NTC PAW-A2W-TSOD'!$J$14*(LN(C65))^3)-273.15</f>
        <v>17.638552939615579</v>
      </c>
      <c r="E65" s="1">
        <f t="shared" si="3"/>
        <v>-0.21000000000000085</v>
      </c>
      <c r="F65" s="1">
        <f t="shared" si="4"/>
        <v>2.8552939615579476E-2</v>
      </c>
      <c r="G65" s="1">
        <f t="shared" si="5"/>
        <v>-0.23855293961558033</v>
      </c>
    </row>
    <row r="66" spans="1:7" x14ac:dyDescent="0.25">
      <c r="A66" s="1">
        <v>17.2</v>
      </c>
      <c r="B66" s="1">
        <v>17.100000000000001</v>
      </c>
      <c r="C66" s="2">
        <v>9070</v>
      </c>
      <c r="D66" s="1">
        <f>1/('NTC PAW-A2W-TSOD'!$J$12+'NTC PAW-A2W-TSOD'!$J$13*LN(C66)+'NTC PAW-A2W-TSOD'!$J$14*(LN(C66))^3)-273.15</f>
        <v>17.144342422686975</v>
      </c>
      <c r="E66" s="1">
        <f t="shared" si="3"/>
        <v>9.9999999999997868E-2</v>
      </c>
      <c r="F66" s="1">
        <f t="shared" si="4"/>
        <v>4.4342422686973748E-2</v>
      </c>
      <c r="G66" s="1">
        <f t="shared" si="5"/>
        <v>5.565757731302412E-2</v>
      </c>
    </row>
    <row r="67" spans="1:7" x14ac:dyDescent="0.25">
      <c r="A67" s="1">
        <v>17</v>
      </c>
      <c r="B67" s="1">
        <v>17.100000000000001</v>
      </c>
      <c r="C67" s="2">
        <v>9070</v>
      </c>
      <c r="D67" s="1">
        <f>1/('NTC PAW-A2W-TSOD'!$J$12+'NTC PAW-A2W-TSOD'!$J$13*LN(C67)+'NTC PAW-A2W-TSOD'!$J$14*(LN(C67))^3)-273.15</f>
        <v>17.144342422686975</v>
      </c>
      <c r="E67" s="1">
        <f t="shared" ref="E67:E130" si="6">A67-B67</f>
        <v>-0.10000000000000142</v>
      </c>
      <c r="F67" s="1">
        <f t="shared" ref="F67:F130" si="7">D67-B67</f>
        <v>4.4342422686973748E-2</v>
      </c>
      <c r="G67" s="1">
        <f t="shared" ref="G67:G130" si="8">A67-D67</f>
        <v>-0.14434242268697517</v>
      </c>
    </row>
    <row r="68" spans="1:7" x14ac:dyDescent="0.25">
      <c r="A68" s="1">
        <v>16.8</v>
      </c>
      <c r="B68" s="1">
        <v>16.61</v>
      </c>
      <c r="C68" s="2">
        <v>9260</v>
      </c>
      <c r="D68" s="1">
        <f>1/('NTC PAW-A2W-TSOD'!$J$12+'NTC PAW-A2W-TSOD'!$J$13*LN(C68)+'NTC PAW-A2W-TSOD'!$J$14*(LN(C68))^3)-273.15</f>
        <v>16.661715897458521</v>
      </c>
      <c r="E68" s="1">
        <f t="shared" si="6"/>
        <v>0.19000000000000128</v>
      </c>
      <c r="F68" s="1">
        <f t="shared" si="7"/>
        <v>5.1715897458521454E-2</v>
      </c>
      <c r="G68" s="1">
        <f t="shared" si="8"/>
        <v>0.13828410254147983</v>
      </c>
    </row>
    <row r="69" spans="1:7" x14ac:dyDescent="0.25">
      <c r="A69" s="1">
        <v>16.600000000000001</v>
      </c>
      <c r="B69" s="1">
        <v>16.61</v>
      </c>
      <c r="C69" s="2">
        <v>9260</v>
      </c>
      <c r="D69" s="1">
        <f>1/('NTC PAW-A2W-TSOD'!$J$12+'NTC PAW-A2W-TSOD'!$J$13*LN(C69)+'NTC PAW-A2W-TSOD'!$J$14*(LN(C69))^3)-273.15</f>
        <v>16.661715897458521</v>
      </c>
      <c r="E69" s="1">
        <f t="shared" si="6"/>
        <v>-9.9999999999980105E-3</v>
      </c>
      <c r="F69" s="1">
        <f t="shared" si="7"/>
        <v>5.1715897458521454E-2</v>
      </c>
      <c r="G69" s="1">
        <f t="shared" si="8"/>
        <v>-6.1715897458519464E-2</v>
      </c>
    </row>
    <row r="70" spans="1:7" x14ac:dyDescent="0.25">
      <c r="A70" s="1">
        <v>16.399999999999999</v>
      </c>
      <c r="B70" s="1">
        <v>16.61</v>
      </c>
      <c r="C70" s="2">
        <v>9260</v>
      </c>
      <c r="D70" s="1">
        <f>1/('NTC PAW-A2W-TSOD'!$J$12+'NTC PAW-A2W-TSOD'!$J$13*LN(C70)+'NTC PAW-A2W-TSOD'!$J$14*(LN(C70))^3)-273.15</f>
        <v>16.661715897458521</v>
      </c>
      <c r="E70" s="1">
        <f t="shared" si="6"/>
        <v>-0.21000000000000085</v>
      </c>
      <c r="F70" s="1">
        <f t="shared" si="7"/>
        <v>5.1715897458521454E-2</v>
      </c>
      <c r="G70" s="1">
        <f t="shared" si="8"/>
        <v>-0.26171589745852231</v>
      </c>
    </row>
    <row r="71" spans="1:7" x14ac:dyDescent="0.25">
      <c r="A71" s="1">
        <v>16.2</v>
      </c>
      <c r="B71" s="1">
        <v>16.13</v>
      </c>
      <c r="C71" s="2">
        <v>9450</v>
      </c>
      <c r="D71" s="1">
        <f>1/('NTC PAW-A2W-TSOD'!$J$12+'NTC PAW-A2W-TSOD'!$J$13*LN(C71)+'NTC PAW-A2W-TSOD'!$J$14*(LN(C71))^3)-273.15</f>
        <v>16.190170233023423</v>
      </c>
      <c r="E71" s="1">
        <f t="shared" si="6"/>
        <v>7.0000000000000284E-2</v>
      </c>
      <c r="F71" s="1">
        <f t="shared" si="7"/>
        <v>6.0170233023423947E-2</v>
      </c>
      <c r="G71" s="1">
        <f t="shared" si="8"/>
        <v>9.8297669765763374E-3</v>
      </c>
    </row>
    <row r="72" spans="1:7" x14ac:dyDescent="0.25">
      <c r="A72" s="1">
        <v>16</v>
      </c>
      <c r="B72" s="1">
        <v>16.13</v>
      </c>
      <c r="C72" s="2">
        <v>9450</v>
      </c>
      <c r="D72" s="1">
        <f>1/('NTC PAW-A2W-TSOD'!$J$12+'NTC PAW-A2W-TSOD'!$J$13*LN(C72)+'NTC PAW-A2W-TSOD'!$J$14*(LN(C72))^3)-273.15</f>
        <v>16.190170233023423</v>
      </c>
      <c r="E72" s="1">
        <f t="shared" si="6"/>
        <v>-0.12999999999999901</v>
      </c>
      <c r="F72" s="1">
        <f t="shared" si="7"/>
        <v>6.0170233023423947E-2</v>
      </c>
      <c r="G72" s="1">
        <f t="shared" si="8"/>
        <v>-0.19017023302342295</v>
      </c>
    </row>
    <row r="73" spans="1:7" x14ac:dyDescent="0.25">
      <c r="A73" s="1">
        <v>15.8000000000001</v>
      </c>
      <c r="B73" s="1">
        <v>15.66</v>
      </c>
      <c r="C73" s="2">
        <v>9640</v>
      </c>
      <c r="D73" s="1">
        <f>1/('NTC PAW-A2W-TSOD'!$J$12+'NTC PAW-A2W-TSOD'!$J$13*LN(C73)+'NTC PAW-A2W-TSOD'!$J$14*(LN(C73))^3)-273.15</f>
        <v>15.729233772727241</v>
      </c>
      <c r="E73" s="1">
        <f t="shared" si="6"/>
        <v>0.14000000000010004</v>
      </c>
      <c r="F73" s="1">
        <f t="shared" si="7"/>
        <v>6.9233772727240961E-2</v>
      </c>
      <c r="G73" s="1">
        <f t="shared" si="8"/>
        <v>7.0766227272859084E-2</v>
      </c>
    </row>
    <row r="74" spans="1:7" x14ac:dyDescent="0.25">
      <c r="A74" s="1">
        <v>15.600000000000099</v>
      </c>
      <c r="B74" s="1">
        <v>15.66</v>
      </c>
      <c r="C74" s="2">
        <v>9640</v>
      </c>
      <c r="D74" s="1">
        <f>1/('NTC PAW-A2W-TSOD'!$J$12+'NTC PAW-A2W-TSOD'!$J$13*LN(C74)+'NTC PAW-A2W-TSOD'!$J$14*(LN(C74))^3)-273.15</f>
        <v>15.729233772727241</v>
      </c>
      <c r="E74" s="1">
        <f t="shared" si="6"/>
        <v>-5.9999999999901021E-2</v>
      </c>
      <c r="F74" s="1">
        <f t="shared" si="7"/>
        <v>6.9233772727240961E-2</v>
      </c>
      <c r="G74" s="1">
        <f t="shared" si="8"/>
        <v>-0.12923377272714198</v>
      </c>
    </row>
    <row r="75" spans="1:7" x14ac:dyDescent="0.25">
      <c r="A75" s="1">
        <v>15.4000000000001</v>
      </c>
      <c r="B75" s="1">
        <v>15.2</v>
      </c>
      <c r="C75" s="2">
        <v>9860</v>
      </c>
      <c r="D75" s="1">
        <f>1/('NTC PAW-A2W-TSOD'!$J$12+'NTC PAW-A2W-TSOD'!$J$13*LN(C75)+'NTC PAW-A2W-TSOD'!$J$14*(LN(C75))^3)-273.15</f>
        <v>15.208191215381987</v>
      </c>
      <c r="E75" s="1">
        <f t="shared" si="6"/>
        <v>0.20000000000010054</v>
      </c>
      <c r="F75" s="1">
        <f t="shared" si="7"/>
        <v>8.1912153819878597E-3</v>
      </c>
      <c r="G75" s="1">
        <f t="shared" si="8"/>
        <v>0.19180878461811268</v>
      </c>
    </row>
    <row r="76" spans="1:7" x14ac:dyDescent="0.25">
      <c r="A76" s="1">
        <v>15.200000000000101</v>
      </c>
      <c r="B76" s="1">
        <v>15.2</v>
      </c>
      <c r="C76" s="2">
        <v>9860</v>
      </c>
      <c r="D76" s="1">
        <f>1/('NTC PAW-A2W-TSOD'!$J$12+'NTC PAW-A2W-TSOD'!$J$13*LN(C76)+'NTC PAW-A2W-TSOD'!$J$14*(LN(C76))^3)-273.15</f>
        <v>15.208191215381987</v>
      </c>
      <c r="E76" s="1">
        <f t="shared" si="6"/>
        <v>1.0125233984581428E-13</v>
      </c>
      <c r="F76" s="1">
        <f t="shared" si="7"/>
        <v>8.1912153819878597E-3</v>
      </c>
      <c r="G76" s="1">
        <f t="shared" si="8"/>
        <v>-8.1912153818866074E-3</v>
      </c>
    </row>
    <row r="77" spans="1:7" x14ac:dyDescent="0.25">
      <c r="A77" s="1">
        <v>15.000000000000099</v>
      </c>
      <c r="B77" s="1">
        <v>15.2</v>
      </c>
      <c r="C77" s="2">
        <v>9860</v>
      </c>
      <c r="D77" s="1">
        <f>1/('NTC PAW-A2W-TSOD'!$J$12+'NTC PAW-A2W-TSOD'!$J$13*LN(C77)+'NTC PAW-A2W-TSOD'!$J$14*(LN(C77))^3)-273.15</f>
        <v>15.208191215381987</v>
      </c>
      <c r="E77" s="1">
        <f t="shared" si="6"/>
        <v>-0.19999999999989981</v>
      </c>
      <c r="F77" s="1">
        <f t="shared" si="7"/>
        <v>8.1912153819878597E-3</v>
      </c>
      <c r="G77" s="1">
        <f t="shared" si="8"/>
        <v>-0.20819121538188767</v>
      </c>
    </row>
    <row r="78" spans="1:7" x14ac:dyDescent="0.25">
      <c r="A78" s="1">
        <v>14.8000000000001</v>
      </c>
      <c r="B78" s="1">
        <v>14.75</v>
      </c>
      <c r="C78" s="2">
        <v>10080</v>
      </c>
      <c r="D78" s="1">
        <f>1/('NTC PAW-A2W-TSOD'!$J$12+'NTC PAW-A2W-TSOD'!$J$13*LN(C78)+'NTC PAW-A2W-TSOD'!$J$14*(LN(C78))^3)-273.15</f>
        <v>14.700137103353143</v>
      </c>
      <c r="E78" s="1">
        <f t="shared" si="6"/>
        <v>5.0000000000100187E-2</v>
      </c>
      <c r="F78" s="1">
        <f t="shared" si="7"/>
        <v>-4.986289664685728E-2</v>
      </c>
      <c r="G78" s="1">
        <f t="shared" si="8"/>
        <v>9.9862896646957466E-2</v>
      </c>
    </row>
    <row r="79" spans="1:7" x14ac:dyDescent="0.25">
      <c r="A79" s="1">
        <v>14.600000000000099</v>
      </c>
      <c r="B79" s="1">
        <v>14.75</v>
      </c>
      <c r="C79" s="2">
        <v>10080</v>
      </c>
      <c r="D79" s="1">
        <f>1/('NTC PAW-A2W-TSOD'!$J$12+'NTC PAW-A2W-TSOD'!$J$13*LN(C79)+'NTC PAW-A2W-TSOD'!$J$14*(LN(C79))^3)-273.15</f>
        <v>14.700137103353143</v>
      </c>
      <c r="E79" s="1">
        <f t="shared" si="6"/>
        <v>-0.14999999999990088</v>
      </c>
      <c r="F79" s="1">
        <f t="shared" si="7"/>
        <v>-4.986289664685728E-2</v>
      </c>
      <c r="G79" s="1">
        <f t="shared" si="8"/>
        <v>-0.1001371033530436</v>
      </c>
    </row>
    <row r="80" spans="1:7" x14ac:dyDescent="0.25">
      <c r="A80" s="1">
        <v>14.4000000000001</v>
      </c>
      <c r="B80" s="1">
        <v>14.31</v>
      </c>
      <c r="C80" s="2">
        <v>10240</v>
      </c>
      <c r="D80" s="1">
        <f>1/('NTC PAW-A2W-TSOD'!$J$12+'NTC PAW-A2W-TSOD'!$J$13*LN(C80)+'NTC PAW-A2W-TSOD'!$J$14*(LN(C80))^3)-273.15</f>
        <v>14.338457418638882</v>
      </c>
      <c r="E80" s="1">
        <f t="shared" si="6"/>
        <v>9.0000000000099334E-2</v>
      </c>
      <c r="F80" s="1">
        <f t="shared" si="7"/>
        <v>2.8457418638881293E-2</v>
      </c>
      <c r="G80" s="1">
        <f t="shared" si="8"/>
        <v>6.1542581361218041E-2</v>
      </c>
    </row>
    <row r="81" spans="1:7" x14ac:dyDescent="0.25">
      <c r="A81" s="1">
        <v>14.200000000000101</v>
      </c>
      <c r="B81" s="1">
        <v>14.31</v>
      </c>
      <c r="C81" s="2">
        <v>10240</v>
      </c>
      <c r="D81" s="1">
        <f>1/('NTC PAW-A2W-TSOD'!$J$12+'NTC PAW-A2W-TSOD'!$J$13*LN(C81)+'NTC PAW-A2W-TSOD'!$J$14*(LN(C81))^3)-273.15</f>
        <v>14.338457418638882</v>
      </c>
      <c r="E81" s="1">
        <f t="shared" si="6"/>
        <v>-0.10999999999989996</v>
      </c>
      <c r="F81" s="1">
        <f t="shared" si="7"/>
        <v>2.8457418638881293E-2</v>
      </c>
      <c r="G81" s="1">
        <f t="shared" si="8"/>
        <v>-0.13845741863878125</v>
      </c>
    </row>
    <row r="82" spans="1:7" x14ac:dyDescent="0.25">
      <c r="A82" s="1">
        <v>14.000000000000099</v>
      </c>
      <c r="B82" s="1">
        <v>13.88</v>
      </c>
      <c r="C82">
        <v>10430</v>
      </c>
      <c r="D82" s="1">
        <f>1/('NTC PAW-A2W-TSOD'!$J$12+'NTC PAW-A2W-TSOD'!$J$13*LN(C82)+'NTC PAW-A2W-TSOD'!$J$14*(LN(C82))^3)-273.15</f>
        <v>13.917173793379902</v>
      </c>
      <c r="E82" s="1">
        <f t="shared" si="6"/>
        <v>0.12000000000009869</v>
      </c>
      <c r="F82" s="1">
        <f t="shared" si="7"/>
        <v>3.7173793379901454E-2</v>
      </c>
      <c r="G82" s="1">
        <f t="shared" si="8"/>
        <v>8.282620662019724E-2</v>
      </c>
    </row>
    <row r="83" spans="1:7" x14ac:dyDescent="0.25">
      <c r="A83" s="1">
        <v>13.8000000000001</v>
      </c>
      <c r="B83" s="1">
        <v>13.88</v>
      </c>
      <c r="C83">
        <v>10430</v>
      </c>
      <c r="D83" s="1">
        <f>1/('NTC PAW-A2W-TSOD'!$J$12+'NTC PAW-A2W-TSOD'!$J$13*LN(C83)+'NTC PAW-A2W-TSOD'!$J$14*(LN(C83))^3)-273.15</f>
        <v>13.917173793379902</v>
      </c>
      <c r="E83" s="1">
        <f t="shared" si="6"/>
        <v>-7.9999999999900595E-2</v>
      </c>
      <c r="F83" s="1">
        <f t="shared" si="7"/>
        <v>3.7173793379901454E-2</v>
      </c>
      <c r="G83" s="1">
        <f t="shared" si="8"/>
        <v>-0.11717379337980205</v>
      </c>
    </row>
    <row r="84" spans="1:7" x14ac:dyDescent="0.25">
      <c r="A84" s="1">
        <v>13.600000000000099</v>
      </c>
      <c r="B84" s="1">
        <v>13.46</v>
      </c>
      <c r="C84">
        <v>10620</v>
      </c>
      <c r="D84" s="1">
        <f>1/('NTC PAW-A2W-TSOD'!$J$12+'NTC PAW-A2W-TSOD'!$J$13*LN(C84)+'NTC PAW-A2W-TSOD'!$J$14*(LN(C84))^3)-273.15</f>
        <v>13.504479163757537</v>
      </c>
      <c r="E84" s="1">
        <f t="shared" si="6"/>
        <v>0.14000000000009827</v>
      </c>
      <c r="F84" s="1">
        <f t="shared" si="7"/>
        <v>4.4479163757536355E-2</v>
      </c>
      <c r="G84" s="1">
        <f t="shared" si="8"/>
        <v>9.5520836242561913E-2</v>
      </c>
    </row>
    <row r="85" spans="1:7" x14ac:dyDescent="0.25">
      <c r="A85" s="1">
        <v>13.4000000000001</v>
      </c>
      <c r="B85" s="1">
        <v>13.46</v>
      </c>
      <c r="C85">
        <v>10620</v>
      </c>
      <c r="D85" s="1">
        <f>1/('NTC PAW-A2W-TSOD'!$J$12+'NTC PAW-A2W-TSOD'!$J$13*LN(C85)+'NTC PAW-A2W-TSOD'!$J$14*(LN(C85))^3)-273.15</f>
        <v>13.504479163757537</v>
      </c>
      <c r="E85" s="1">
        <f t="shared" si="6"/>
        <v>-5.9999999999901021E-2</v>
      </c>
      <c r="F85" s="1">
        <f t="shared" si="7"/>
        <v>4.4479163757536355E-2</v>
      </c>
      <c r="G85" s="1">
        <f t="shared" si="8"/>
        <v>-0.10447916375743738</v>
      </c>
    </row>
    <row r="86" spans="1:7" x14ac:dyDescent="0.25">
      <c r="A86" s="1">
        <v>13.200000000000101</v>
      </c>
      <c r="B86" s="1">
        <v>13.04</v>
      </c>
      <c r="C86">
        <v>10820</v>
      </c>
      <c r="D86" s="1">
        <f>1/('NTC PAW-A2W-TSOD'!$J$12+'NTC PAW-A2W-TSOD'!$J$13*LN(C86)+'NTC PAW-A2W-TSOD'!$J$14*(LN(C86))^3)-273.15</f>
        <v>13.0789851722202</v>
      </c>
      <c r="E86" s="1">
        <f t="shared" si="6"/>
        <v>0.16000000000010139</v>
      </c>
      <c r="F86" s="1">
        <f t="shared" si="7"/>
        <v>3.8985172220201036E-2</v>
      </c>
      <c r="G86" s="1">
        <f t="shared" si="8"/>
        <v>0.12101482777990036</v>
      </c>
    </row>
    <row r="87" spans="1:7" x14ac:dyDescent="0.25">
      <c r="A87" s="1">
        <v>13.000000000000099</v>
      </c>
      <c r="B87" s="1">
        <v>13.04</v>
      </c>
      <c r="C87">
        <v>10820</v>
      </c>
      <c r="D87" s="1">
        <f>1/('NTC PAW-A2W-TSOD'!$J$12+'NTC PAW-A2W-TSOD'!$J$13*LN(C87)+'NTC PAW-A2W-TSOD'!$J$14*(LN(C87))^3)-273.15</f>
        <v>13.0789851722202</v>
      </c>
      <c r="E87" s="1">
        <f t="shared" si="6"/>
        <v>-3.9999999999899671E-2</v>
      </c>
      <c r="F87" s="1">
        <f t="shared" si="7"/>
        <v>3.8985172220201036E-2</v>
      </c>
      <c r="G87" s="1">
        <f t="shared" si="8"/>
        <v>-7.8985172220100708E-2</v>
      </c>
    </row>
    <row r="88" spans="1:7" x14ac:dyDescent="0.25">
      <c r="A88" s="1">
        <v>12.8000000000001</v>
      </c>
      <c r="B88" s="1">
        <v>12.64</v>
      </c>
      <c r="C88">
        <v>11010</v>
      </c>
      <c r="D88" s="1">
        <f>1/('NTC PAW-A2W-TSOD'!$J$12+'NTC PAW-A2W-TSOD'!$J$13*LN(C88)+'NTC PAW-A2W-TSOD'!$J$14*(LN(C88))^3)-273.15</f>
        <v>12.682920355641841</v>
      </c>
      <c r="E88" s="1">
        <f t="shared" si="6"/>
        <v>0.16000000000009962</v>
      </c>
      <c r="F88" s="1">
        <f t="shared" si="7"/>
        <v>4.2920355641840047E-2</v>
      </c>
      <c r="G88" s="1">
        <f t="shared" si="8"/>
        <v>0.11707964435825957</v>
      </c>
    </row>
    <row r="89" spans="1:7" x14ac:dyDescent="0.25">
      <c r="A89" s="1">
        <v>12.600000000000099</v>
      </c>
      <c r="B89" s="1">
        <v>12.64</v>
      </c>
      <c r="C89">
        <v>11010</v>
      </c>
      <c r="D89" s="1">
        <f>1/('NTC PAW-A2W-TSOD'!$J$12+'NTC PAW-A2W-TSOD'!$J$13*LN(C89)+'NTC PAW-A2W-TSOD'!$J$14*(LN(C89))^3)-273.15</f>
        <v>12.682920355641841</v>
      </c>
      <c r="E89" s="1">
        <f t="shared" si="6"/>
        <v>-3.9999999999901448E-2</v>
      </c>
      <c r="F89" s="1">
        <f t="shared" si="7"/>
        <v>4.2920355641840047E-2</v>
      </c>
      <c r="G89" s="1">
        <f t="shared" si="8"/>
        <v>-8.2920355641741494E-2</v>
      </c>
    </row>
    <row r="90" spans="1:7" x14ac:dyDescent="0.25">
      <c r="A90" s="1">
        <v>12.4000000000001</v>
      </c>
      <c r="B90" s="1">
        <v>12.24</v>
      </c>
      <c r="C90" s="2">
        <v>11210</v>
      </c>
      <c r="D90" s="1">
        <f>1/('NTC PAW-A2W-TSOD'!$J$12+'NTC PAW-A2W-TSOD'!$J$13*LN(C90)+'NTC PAW-A2W-TSOD'!$J$14*(LN(C90))^3)-273.15</f>
        <v>12.274269046486097</v>
      </c>
      <c r="E90" s="1">
        <f t="shared" si="6"/>
        <v>0.16000000000009962</v>
      </c>
      <c r="F90" s="1">
        <f t="shared" si="7"/>
        <v>3.4269046486096855E-2</v>
      </c>
      <c r="G90" s="1">
        <f t="shared" si="8"/>
        <v>0.12573095351400276</v>
      </c>
    </row>
    <row r="91" spans="1:7" x14ac:dyDescent="0.25">
      <c r="A91" s="1">
        <v>12.200000000000101</v>
      </c>
      <c r="B91" s="1">
        <v>12.24</v>
      </c>
      <c r="C91" s="2">
        <v>11210</v>
      </c>
      <c r="D91" s="1">
        <f>1/('NTC PAW-A2W-TSOD'!$J$12+'NTC PAW-A2W-TSOD'!$J$13*LN(C91)+'NTC PAW-A2W-TSOD'!$J$14*(LN(C91))^3)-273.15</f>
        <v>12.274269046486097</v>
      </c>
      <c r="E91" s="1">
        <f t="shared" si="6"/>
        <v>-3.9999999999899671E-2</v>
      </c>
      <c r="F91" s="1">
        <f t="shared" si="7"/>
        <v>3.4269046486096855E-2</v>
      </c>
      <c r="G91" s="1">
        <f t="shared" si="8"/>
        <v>-7.4269046485996526E-2</v>
      </c>
    </row>
    <row r="92" spans="1:7" x14ac:dyDescent="0.25">
      <c r="A92" s="1">
        <v>12.000000000000099</v>
      </c>
      <c r="B92" s="1">
        <v>11.85</v>
      </c>
      <c r="C92">
        <v>11390</v>
      </c>
      <c r="D92" s="1">
        <f>1/('NTC PAW-A2W-TSOD'!$J$12+'NTC PAW-A2W-TSOD'!$J$13*LN(C92)+'NTC PAW-A2W-TSOD'!$J$14*(LN(C92))^3)-273.15</f>
        <v>11.91346509138782</v>
      </c>
      <c r="E92" s="1">
        <f t="shared" si="6"/>
        <v>0.15000000000009983</v>
      </c>
      <c r="F92" s="1">
        <f t="shared" si="7"/>
        <v>6.3465091387820749E-2</v>
      </c>
      <c r="G92" s="1">
        <f t="shared" si="8"/>
        <v>8.6534908612279082E-2</v>
      </c>
    </row>
    <row r="93" spans="1:7" x14ac:dyDescent="0.25">
      <c r="A93" s="1">
        <v>11.8000000000001</v>
      </c>
      <c r="B93" s="1">
        <v>11.85</v>
      </c>
      <c r="C93">
        <v>11390</v>
      </c>
      <c r="D93" s="1">
        <f>1/('NTC PAW-A2W-TSOD'!$J$12+'NTC PAW-A2W-TSOD'!$J$13*LN(C93)+'NTC PAW-A2W-TSOD'!$J$14*(LN(C93))^3)-273.15</f>
        <v>11.91346509138782</v>
      </c>
      <c r="E93" s="1">
        <f t="shared" si="6"/>
        <v>-4.9999999999899458E-2</v>
      </c>
      <c r="F93" s="1">
        <f t="shared" si="7"/>
        <v>6.3465091387820749E-2</v>
      </c>
      <c r="G93" s="1">
        <f t="shared" si="8"/>
        <v>-0.11346509138772021</v>
      </c>
    </row>
    <row r="94" spans="1:7" x14ac:dyDescent="0.25">
      <c r="A94" s="1">
        <v>11.600000000000099</v>
      </c>
      <c r="B94" s="1">
        <v>11.47</v>
      </c>
      <c r="C94">
        <v>11590</v>
      </c>
      <c r="D94" s="1">
        <f>1/('NTC PAW-A2W-TSOD'!$J$12+'NTC PAW-A2W-TSOD'!$J$13*LN(C94)+'NTC PAW-A2W-TSOD'!$J$14*(LN(C94))^3)-273.15</f>
        <v>11.520051012984766</v>
      </c>
      <c r="E94" s="1">
        <f t="shared" si="6"/>
        <v>0.13000000000009848</v>
      </c>
      <c r="F94" s="1">
        <f t="shared" si="7"/>
        <v>5.0051012984765109E-2</v>
      </c>
      <c r="G94" s="1">
        <f t="shared" si="8"/>
        <v>7.9948987015333373E-2</v>
      </c>
    </row>
    <row r="95" spans="1:7" x14ac:dyDescent="0.25">
      <c r="A95" s="1">
        <v>11.4000000000001</v>
      </c>
      <c r="B95" s="1">
        <v>11.47</v>
      </c>
      <c r="C95">
        <v>11590</v>
      </c>
      <c r="D95" s="1">
        <f>1/('NTC PAW-A2W-TSOD'!$J$12+'NTC PAW-A2W-TSOD'!$J$13*LN(C95)+'NTC PAW-A2W-TSOD'!$J$14*(LN(C95))^3)-273.15</f>
        <v>11.520051012984766</v>
      </c>
      <c r="E95" s="1">
        <f t="shared" si="6"/>
        <v>-6.9999999999900808E-2</v>
      </c>
      <c r="F95" s="1">
        <f t="shared" si="7"/>
        <v>5.0051012984765109E-2</v>
      </c>
      <c r="G95" s="1">
        <f t="shared" si="8"/>
        <v>-0.12005101298466592</v>
      </c>
    </row>
    <row r="96" spans="1:7" x14ac:dyDescent="0.25">
      <c r="A96" s="1">
        <v>11.200000000000101</v>
      </c>
      <c r="B96" s="1">
        <v>11.1</v>
      </c>
      <c r="C96">
        <v>11780</v>
      </c>
      <c r="D96" s="1">
        <f>1/('NTC PAW-A2W-TSOD'!$J$12+'NTC PAW-A2W-TSOD'!$J$13*LN(C96)+'NTC PAW-A2W-TSOD'!$J$14*(LN(C96))^3)-273.15</f>
        <v>11.153346524928054</v>
      </c>
      <c r="E96" s="1">
        <f t="shared" si="6"/>
        <v>0.1000000000001009</v>
      </c>
      <c r="F96" s="1">
        <f t="shared" si="7"/>
        <v>5.3346524928054251E-2</v>
      </c>
      <c r="G96" s="1">
        <f t="shared" si="8"/>
        <v>4.6653475072046646E-2</v>
      </c>
    </row>
    <row r="97" spans="1:7" x14ac:dyDescent="0.25">
      <c r="A97" s="1">
        <v>11.000000000000099</v>
      </c>
      <c r="B97" s="1">
        <v>11.1</v>
      </c>
      <c r="C97">
        <v>11780</v>
      </c>
      <c r="D97" s="1">
        <f>1/('NTC PAW-A2W-TSOD'!$J$12+'NTC PAW-A2W-TSOD'!$J$13*LN(C97)+'NTC PAW-A2W-TSOD'!$J$14*(LN(C97))^3)-273.15</f>
        <v>11.153346524928054</v>
      </c>
      <c r="E97" s="1">
        <f t="shared" si="6"/>
        <v>-9.9999999999900169E-2</v>
      </c>
      <c r="F97" s="1">
        <f t="shared" si="7"/>
        <v>5.3346524928054251E-2</v>
      </c>
      <c r="G97" s="1">
        <f t="shared" si="8"/>
        <v>-0.15334652492795442</v>
      </c>
    </row>
    <row r="98" spans="1:7" x14ac:dyDescent="0.25">
      <c r="A98" s="1">
        <v>10.8000000000001</v>
      </c>
      <c r="B98" s="1">
        <v>10.73</v>
      </c>
      <c r="C98" s="2">
        <v>12000</v>
      </c>
      <c r="D98" s="1">
        <f>1/('NTC PAW-A2W-TSOD'!$J$12+'NTC PAW-A2W-TSOD'!$J$13*LN(C98)+'NTC PAW-A2W-TSOD'!$J$14*(LN(C98))^3)-273.15</f>
        <v>10.736996761300361</v>
      </c>
      <c r="E98" s="1">
        <f t="shared" si="6"/>
        <v>7.000000000009976E-2</v>
      </c>
      <c r="F98" s="1">
        <f t="shared" si="7"/>
        <v>6.9967613003605322E-3</v>
      </c>
      <c r="G98" s="1">
        <f t="shared" si="8"/>
        <v>6.3003238699739228E-2</v>
      </c>
    </row>
    <row r="99" spans="1:7" x14ac:dyDescent="0.25">
      <c r="A99" s="1">
        <v>10.600000000000099</v>
      </c>
      <c r="B99" s="1">
        <v>10.73</v>
      </c>
      <c r="C99" s="2">
        <v>12000</v>
      </c>
      <c r="D99" s="1">
        <f>1/('NTC PAW-A2W-TSOD'!$J$12+'NTC PAW-A2W-TSOD'!$J$13*LN(C99)+'NTC PAW-A2W-TSOD'!$J$14*(LN(C99))^3)-273.15</f>
        <v>10.736996761300361</v>
      </c>
      <c r="E99" s="1">
        <f t="shared" si="6"/>
        <v>-0.12999999999990131</v>
      </c>
      <c r="F99" s="1">
        <f t="shared" si="7"/>
        <v>6.9967613003605322E-3</v>
      </c>
      <c r="G99" s="1">
        <f t="shared" si="8"/>
        <v>-0.13699676130026184</v>
      </c>
    </row>
    <row r="100" spans="1:7" x14ac:dyDescent="0.25">
      <c r="A100" s="1">
        <v>10.4000000000001</v>
      </c>
      <c r="B100" s="1">
        <v>10.37</v>
      </c>
      <c r="C100">
        <v>12160</v>
      </c>
      <c r="D100" s="1">
        <f>1/('NTC PAW-A2W-TSOD'!$J$12+'NTC PAW-A2W-TSOD'!$J$13*LN(C100)+'NTC PAW-A2W-TSOD'!$J$14*(LN(C100))^3)-273.15</f>
        <v>10.439574411199203</v>
      </c>
      <c r="E100" s="1">
        <f t="shared" si="6"/>
        <v>3.0000000000100613E-2</v>
      </c>
      <c r="F100" s="1">
        <f t="shared" si="7"/>
        <v>6.9574411199203823E-2</v>
      </c>
      <c r="G100" s="1">
        <f t="shared" si="8"/>
        <v>-3.957441119910321E-2</v>
      </c>
    </row>
    <row r="101" spans="1:7" x14ac:dyDescent="0.25">
      <c r="A101" s="1">
        <v>10.200000000000101</v>
      </c>
      <c r="B101" s="1">
        <v>10.37</v>
      </c>
      <c r="C101">
        <v>12160</v>
      </c>
      <c r="D101" s="1">
        <f>1/('NTC PAW-A2W-TSOD'!$J$12+'NTC PAW-A2W-TSOD'!$J$13*LN(C101)+'NTC PAW-A2W-TSOD'!$J$14*(LN(C101))^3)-273.15</f>
        <v>10.439574411199203</v>
      </c>
      <c r="E101" s="1">
        <f t="shared" si="6"/>
        <v>-0.16999999999989868</v>
      </c>
      <c r="F101" s="1">
        <f t="shared" si="7"/>
        <v>6.9574411199203823E-2</v>
      </c>
      <c r="G101" s="1">
        <f t="shared" si="8"/>
        <v>-0.2395744111991025</v>
      </c>
    </row>
    <row r="102" spans="1:7" x14ac:dyDescent="0.25">
      <c r="A102" s="1">
        <v>10.000000000000099</v>
      </c>
      <c r="B102" s="1">
        <v>10.01</v>
      </c>
      <c r="C102">
        <v>12340</v>
      </c>
      <c r="D102" s="1">
        <f>1/('NTC PAW-A2W-TSOD'!$J$12+'NTC PAW-A2W-TSOD'!$J$13*LN(C102)+'NTC PAW-A2W-TSOD'!$J$14*(LN(C102))^3)-273.15</f>
        <v>10.110210935359646</v>
      </c>
      <c r="E102" s="1">
        <f t="shared" si="6"/>
        <v>-9.9999999999003109E-3</v>
      </c>
      <c r="F102" s="1">
        <f t="shared" si="7"/>
        <v>0.10021093535964631</v>
      </c>
      <c r="G102" s="1">
        <f t="shared" si="8"/>
        <v>-0.11021093535954662</v>
      </c>
    </row>
    <row r="103" spans="1:7" x14ac:dyDescent="0.25">
      <c r="A103" s="1">
        <v>9.8000000000001002</v>
      </c>
      <c r="B103" s="1">
        <v>9.67</v>
      </c>
      <c r="C103">
        <v>12540</v>
      </c>
      <c r="D103" s="1">
        <f>1/('NTC PAW-A2W-TSOD'!$J$12+'NTC PAW-A2W-TSOD'!$J$13*LN(C103)+'NTC PAW-A2W-TSOD'!$J$14*(LN(C103))^3)-273.15</f>
        <v>9.7505537021930309</v>
      </c>
      <c r="E103" s="1">
        <f t="shared" si="6"/>
        <v>0.13000000000010026</v>
      </c>
      <c r="F103" s="1">
        <f t="shared" si="7"/>
        <v>8.0553702193030929E-2</v>
      </c>
      <c r="G103" s="1">
        <f t="shared" si="8"/>
        <v>4.9446297807069328E-2</v>
      </c>
    </row>
    <row r="104" spans="1:7" x14ac:dyDescent="0.25">
      <c r="A104" s="1">
        <v>9.6000000000000991</v>
      </c>
      <c r="B104" s="1">
        <v>9.67</v>
      </c>
      <c r="C104">
        <v>12540</v>
      </c>
      <c r="D104" s="1">
        <f>1/('NTC PAW-A2W-TSOD'!$J$12+'NTC PAW-A2W-TSOD'!$J$13*LN(C104)+'NTC PAW-A2W-TSOD'!$J$14*(LN(C104))^3)-273.15</f>
        <v>9.7505537021930309</v>
      </c>
      <c r="E104" s="1">
        <f t="shared" si="6"/>
        <v>-6.9999999999900808E-2</v>
      </c>
      <c r="F104" s="1">
        <f t="shared" si="7"/>
        <v>8.0553702193030929E-2</v>
      </c>
      <c r="G104" s="1">
        <f t="shared" si="8"/>
        <v>-0.15055370219293174</v>
      </c>
    </row>
    <row r="105" spans="1:7" x14ac:dyDescent="0.25">
      <c r="A105" s="1">
        <v>9.4000000000000998</v>
      </c>
      <c r="B105" s="1">
        <v>9.32</v>
      </c>
      <c r="C105" s="2">
        <v>12760</v>
      </c>
      <c r="D105" s="1">
        <f>1/('NTC PAW-A2W-TSOD'!$J$12+'NTC PAW-A2W-TSOD'!$J$13*LN(C105)+'NTC PAW-A2W-TSOD'!$J$14*(LN(C105))^3)-273.15</f>
        <v>9.3623343148297522</v>
      </c>
      <c r="E105" s="1">
        <f t="shared" si="6"/>
        <v>8.0000000000099547E-2</v>
      </c>
      <c r="F105" s="1">
        <f t="shared" si="7"/>
        <v>4.2334314829751918E-2</v>
      </c>
      <c r="G105" s="1">
        <f t="shared" si="8"/>
        <v>3.7665685170347629E-2</v>
      </c>
    </row>
    <row r="106" spans="1:7" x14ac:dyDescent="0.25">
      <c r="A106" s="1">
        <v>9.2000000000001005</v>
      </c>
      <c r="B106" s="1">
        <v>9.32</v>
      </c>
      <c r="C106" s="2">
        <v>12760</v>
      </c>
      <c r="D106" s="1">
        <f>1/('NTC PAW-A2W-TSOD'!$J$12+'NTC PAW-A2W-TSOD'!$J$13*LN(C106)+'NTC PAW-A2W-TSOD'!$J$14*(LN(C106))^3)-273.15</f>
        <v>9.3623343148297522</v>
      </c>
      <c r="E106" s="1">
        <f t="shared" si="6"/>
        <v>-0.11999999999989974</v>
      </c>
      <c r="F106" s="1">
        <f t="shared" si="7"/>
        <v>4.2334314829751918E-2</v>
      </c>
      <c r="G106" s="1">
        <f t="shared" si="8"/>
        <v>-0.16233431482965166</v>
      </c>
    </row>
    <row r="107" spans="1:7" x14ac:dyDescent="0.25">
      <c r="A107" s="1">
        <v>9.0000000000000995</v>
      </c>
      <c r="B107" s="1">
        <v>8.99</v>
      </c>
      <c r="C107">
        <v>12930</v>
      </c>
      <c r="D107" s="1">
        <f>1/('NTC PAW-A2W-TSOD'!$J$12+'NTC PAW-A2W-TSOD'!$J$13*LN(C107)+'NTC PAW-A2W-TSOD'!$J$14*(LN(C107))^3)-273.15</f>
        <v>9.0674850661904998</v>
      </c>
      <c r="E107" s="1">
        <f t="shared" si="6"/>
        <v>1.0000000000099263E-2</v>
      </c>
      <c r="F107" s="1">
        <f t="shared" si="7"/>
        <v>7.7485066190499552E-2</v>
      </c>
      <c r="G107" s="1">
        <f t="shared" si="8"/>
        <v>-6.7485066190400289E-2</v>
      </c>
    </row>
    <row r="108" spans="1:7" x14ac:dyDescent="0.25">
      <c r="A108" s="1">
        <v>8.8000000000001002</v>
      </c>
      <c r="B108" s="1">
        <v>8.66</v>
      </c>
      <c r="C108">
        <v>13120</v>
      </c>
      <c r="D108" s="1">
        <f>1/('NTC PAW-A2W-TSOD'!$J$12+'NTC PAW-A2W-TSOD'!$J$13*LN(C108)+'NTC PAW-A2W-TSOD'!$J$14*(LN(C108))^3)-273.15</f>
        <v>8.7430808670666806</v>
      </c>
      <c r="E108" s="1">
        <f t="shared" si="6"/>
        <v>0.14000000000010004</v>
      </c>
      <c r="F108" s="1">
        <f t="shared" si="7"/>
        <v>8.3080867066680497E-2</v>
      </c>
      <c r="G108" s="1">
        <f t="shared" si="8"/>
        <v>5.6919132933419547E-2</v>
      </c>
    </row>
    <row r="109" spans="1:7" x14ac:dyDescent="0.25">
      <c r="A109" s="1">
        <v>8.6000000000000991</v>
      </c>
      <c r="B109" s="1">
        <v>8.66</v>
      </c>
      <c r="C109">
        <v>13120</v>
      </c>
      <c r="D109" s="1">
        <f>1/('NTC PAW-A2W-TSOD'!$J$12+'NTC PAW-A2W-TSOD'!$J$13*LN(C109)+'NTC PAW-A2W-TSOD'!$J$14*(LN(C109))^3)-273.15</f>
        <v>8.7430808670666806</v>
      </c>
      <c r="E109" s="1">
        <f t="shared" si="6"/>
        <v>-5.9999999999901021E-2</v>
      </c>
      <c r="F109" s="1">
        <f t="shared" si="7"/>
        <v>8.3080867066680497E-2</v>
      </c>
      <c r="G109" s="1">
        <f t="shared" si="8"/>
        <v>-0.14308086706658152</v>
      </c>
    </row>
    <row r="110" spans="1:7" x14ac:dyDescent="0.25">
      <c r="A110" s="1">
        <v>8.4000000000000998</v>
      </c>
      <c r="B110" s="1">
        <v>8.33</v>
      </c>
      <c r="C110" s="2">
        <v>13340</v>
      </c>
      <c r="D110" s="1">
        <f>1/('NTC PAW-A2W-TSOD'!$J$12+'NTC PAW-A2W-TSOD'!$J$13*LN(C110)+'NTC PAW-A2W-TSOD'!$J$14*(LN(C110))^3)-273.15</f>
        <v>8.3740131053979781</v>
      </c>
      <c r="E110" s="1">
        <f t="shared" si="6"/>
        <v>7.000000000009976E-2</v>
      </c>
      <c r="F110" s="1">
        <f t="shared" si="7"/>
        <v>4.4013105397977981E-2</v>
      </c>
      <c r="G110" s="1">
        <f t="shared" si="8"/>
        <v>2.5986894602121779E-2</v>
      </c>
    </row>
    <row r="111" spans="1:7" x14ac:dyDescent="0.25">
      <c r="A111" s="1">
        <v>8.2000000000001005</v>
      </c>
      <c r="B111" s="1">
        <v>8.33</v>
      </c>
      <c r="C111" s="2">
        <v>13340</v>
      </c>
      <c r="D111" s="1">
        <f>1/('NTC PAW-A2W-TSOD'!$J$12+'NTC PAW-A2W-TSOD'!$J$13*LN(C111)+'NTC PAW-A2W-TSOD'!$J$14*(LN(C111))^3)-273.15</f>
        <v>8.3740131053979781</v>
      </c>
      <c r="E111" s="1">
        <f t="shared" si="6"/>
        <v>-0.12999999999989953</v>
      </c>
      <c r="F111" s="1">
        <f t="shared" si="7"/>
        <v>4.4013105397977981E-2</v>
      </c>
      <c r="G111" s="1">
        <f t="shared" si="8"/>
        <v>-0.17401310539787751</v>
      </c>
    </row>
    <row r="112" spans="1:7" x14ac:dyDescent="0.25">
      <c r="A112" s="1">
        <v>8.0000000000000995</v>
      </c>
      <c r="B112" s="1">
        <v>8.01</v>
      </c>
      <c r="C112">
        <v>13500</v>
      </c>
      <c r="D112" s="1">
        <f>1/('NTC PAW-A2W-TSOD'!$J$12+'NTC PAW-A2W-TSOD'!$J$13*LN(C112)+'NTC PAW-A2W-TSOD'!$J$14*(LN(C112))^3)-273.15</f>
        <v>8.1098870029214254</v>
      </c>
      <c r="E112" s="1">
        <f t="shared" si="6"/>
        <v>-9.9999999999003109E-3</v>
      </c>
      <c r="F112" s="1">
        <f t="shared" si="7"/>
        <v>9.9887002921425605E-2</v>
      </c>
      <c r="G112" s="1">
        <f t="shared" si="8"/>
        <v>-0.10988700292132592</v>
      </c>
    </row>
    <row r="113" spans="1:7" x14ac:dyDescent="0.25">
      <c r="A113" s="1">
        <v>7.8000000000001002</v>
      </c>
      <c r="B113" s="1">
        <v>7.7</v>
      </c>
      <c r="C113" s="2">
        <v>13720</v>
      </c>
      <c r="D113" s="1">
        <f>1/('NTC PAW-A2W-TSOD'!$J$12+'NTC PAW-A2W-TSOD'!$J$13*LN(C113)+'NTC PAW-A2W-TSOD'!$J$14*(LN(C113))^3)-273.15</f>
        <v>7.7524231979448928</v>
      </c>
      <c r="E113" s="1">
        <f t="shared" si="6"/>
        <v>0.10000000000010001</v>
      </c>
      <c r="F113" s="1">
        <f t="shared" si="7"/>
        <v>5.2423197944892586E-2</v>
      </c>
      <c r="G113" s="1">
        <f t="shared" si="8"/>
        <v>4.7576802055207423E-2</v>
      </c>
    </row>
    <row r="114" spans="1:7" x14ac:dyDescent="0.25">
      <c r="A114" s="1">
        <v>7.6000000000001</v>
      </c>
      <c r="B114" s="1">
        <v>7.7</v>
      </c>
      <c r="C114" s="2">
        <v>13720</v>
      </c>
      <c r="D114" s="1">
        <f>1/('NTC PAW-A2W-TSOD'!$J$12+'NTC PAW-A2W-TSOD'!$J$13*LN(C114)+'NTC PAW-A2W-TSOD'!$J$14*(LN(C114))^3)-273.15</f>
        <v>7.7524231979448928</v>
      </c>
      <c r="E114" s="1">
        <f t="shared" si="6"/>
        <v>-9.9999999999900169E-2</v>
      </c>
      <c r="F114" s="1">
        <f t="shared" si="7"/>
        <v>5.2423197944892586E-2</v>
      </c>
      <c r="G114" s="1">
        <f t="shared" si="8"/>
        <v>-0.15242319794479275</v>
      </c>
    </row>
    <row r="115" spans="1:7" x14ac:dyDescent="0.25">
      <c r="A115" s="1">
        <v>7.4000000000000998</v>
      </c>
      <c r="B115" s="1">
        <v>7.39</v>
      </c>
      <c r="C115" s="2">
        <v>13900</v>
      </c>
      <c r="D115" s="1">
        <f>1/('NTC PAW-A2W-TSOD'!$J$12+'NTC PAW-A2W-TSOD'!$J$13*LN(C115)+'NTC PAW-A2W-TSOD'!$J$14*(LN(C115))^3)-273.15</f>
        <v>7.4647282105237309</v>
      </c>
      <c r="E115" s="1">
        <f t="shared" si="6"/>
        <v>1.0000000000100151E-2</v>
      </c>
      <c r="F115" s="1">
        <f t="shared" si="7"/>
        <v>7.4728210523731242E-2</v>
      </c>
      <c r="G115" s="1">
        <f t="shared" si="8"/>
        <v>-6.4728210523631091E-2</v>
      </c>
    </row>
    <row r="116" spans="1:7" x14ac:dyDescent="0.25">
      <c r="A116" s="1">
        <v>7.2000000000000997</v>
      </c>
      <c r="B116" s="1">
        <v>7.08</v>
      </c>
      <c r="C116" s="2">
        <v>14090</v>
      </c>
      <c r="D116" s="1">
        <f>1/('NTC PAW-A2W-TSOD'!$J$12+'NTC PAW-A2W-TSOD'!$J$13*LN(C116)+'NTC PAW-A2W-TSOD'!$J$14*(LN(C116))^3)-273.15</f>
        <v>7.1655729339216805</v>
      </c>
      <c r="E116" s="1">
        <f t="shared" si="6"/>
        <v>0.12000000000009958</v>
      </c>
      <c r="F116" s="1">
        <f t="shared" si="7"/>
        <v>8.5572933921680416E-2</v>
      </c>
      <c r="G116" s="1">
        <f t="shared" si="8"/>
        <v>3.4427066078419166E-2</v>
      </c>
    </row>
    <row r="117" spans="1:7" x14ac:dyDescent="0.25">
      <c r="A117" s="1">
        <v>7.0000000000001004</v>
      </c>
      <c r="B117" s="1">
        <v>7.08</v>
      </c>
      <c r="C117" s="2">
        <v>14090</v>
      </c>
      <c r="D117" s="1">
        <f>1/('NTC PAW-A2W-TSOD'!$J$12+'NTC PAW-A2W-TSOD'!$J$13*LN(C117)+'NTC PAW-A2W-TSOD'!$J$14*(LN(C117))^3)-273.15</f>
        <v>7.1655729339216805</v>
      </c>
      <c r="E117" s="1">
        <f t="shared" si="6"/>
        <v>-7.9999999999899707E-2</v>
      </c>
      <c r="F117" s="1">
        <f t="shared" si="7"/>
        <v>8.5572933921680416E-2</v>
      </c>
      <c r="G117" s="1">
        <f t="shared" si="8"/>
        <v>-0.16557293392158012</v>
      </c>
    </row>
    <row r="118" spans="1:7" x14ac:dyDescent="0.25">
      <c r="A118" s="1">
        <v>6.8000000000001002</v>
      </c>
      <c r="B118" s="1">
        <v>6.78</v>
      </c>
      <c r="C118" s="2">
        <v>14280</v>
      </c>
      <c r="D118" s="1">
        <f>1/('NTC PAW-A2W-TSOD'!$J$12+'NTC PAW-A2W-TSOD'!$J$13*LN(C118)+'NTC PAW-A2W-TSOD'!$J$14*(LN(C118))^3)-273.15</f>
        <v>6.870932187979065</v>
      </c>
      <c r="E118" s="1">
        <f t="shared" si="6"/>
        <v>2.0000000000099938E-2</v>
      </c>
      <c r="F118" s="1">
        <f t="shared" si="7"/>
        <v>9.0932187979064771E-2</v>
      </c>
      <c r="G118" s="1">
        <f t="shared" si="8"/>
        <v>-7.0932187978964834E-2</v>
      </c>
    </row>
    <row r="119" spans="1:7" x14ac:dyDescent="0.25">
      <c r="A119" s="1">
        <v>6.6000000000001</v>
      </c>
      <c r="B119" s="1">
        <v>6.49</v>
      </c>
      <c r="C119" s="2">
        <v>14500</v>
      </c>
      <c r="D119" s="1">
        <f>1/('NTC PAW-A2W-TSOD'!$J$12+'NTC PAW-A2W-TSOD'!$J$13*LN(C119)+'NTC PAW-A2W-TSOD'!$J$14*(LN(C119))^3)-273.15</f>
        <v>6.5352420366668298</v>
      </c>
      <c r="E119" s="1">
        <f t="shared" si="6"/>
        <v>0.1100000000000998</v>
      </c>
      <c r="F119" s="1">
        <f t="shared" si="7"/>
        <v>4.5242036666829577E-2</v>
      </c>
      <c r="G119" s="1">
        <f t="shared" si="8"/>
        <v>6.4757963333270219E-2</v>
      </c>
    </row>
    <row r="120" spans="1:7" x14ac:dyDescent="0.25">
      <c r="A120" s="1">
        <v>6.4000000000000998</v>
      </c>
      <c r="B120" s="1">
        <v>6.49</v>
      </c>
      <c r="C120" s="2">
        <v>14500</v>
      </c>
      <c r="D120" s="1">
        <f>1/('NTC PAW-A2W-TSOD'!$J$12+'NTC PAW-A2W-TSOD'!$J$13*LN(C120)+'NTC PAW-A2W-TSOD'!$J$14*(LN(C120))^3)-273.15</f>
        <v>6.5352420366668298</v>
      </c>
      <c r="E120" s="1">
        <f t="shared" si="6"/>
        <v>-8.9999999999900382E-2</v>
      </c>
      <c r="F120" s="1">
        <f t="shared" si="7"/>
        <v>4.5242036666829577E-2</v>
      </c>
      <c r="G120" s="1">
        <f t="shared" si="8"/>
        <v>-0.13524203666672996</v>
      </c>
    </row>
    <row r="121" spans="1:7" x14ac:dyDescent="0.25">
      <c r="A121" s="1">
        <v>6.2000000000000997</v>
      </c>
      <c r="B121" s="1">
        <v>6.19</v>
      </c>
      <c r="C121" s="2">
        <v>14670</v>
      </c>
      <c r="D121" s="1">
        <f>1/('NTC PAW-A2W-TSOD'!$J$12+'NTC PAW-A2W-TSOD'!$J$13*LN(C121)+'NTC PAW-A2W-TSOD'!$J$14*(LN(C121))^3)-273.15</f>
        <v>6.2797539155546929</v>
      </c>
      <c r="E121" s="1">
        <f t="shared" si="6"/>
        <v>1.0000000000099263E-2</v>
      </c>
      <c r="F121" s="1">
        <f t="shared" si="7"/>
        <v>8.9753915554692476E-2</v>
      </c>
      <c r="G121" s="1">
        <f t="shared" si="8"/>
        <v>-7.9753915554593213E-2</v>
      </c>
    </row>
    <row r="122" spans="1:7" x14ac:dyDescent="0.25">
      <c r="A122" s="1">
        <v>6.0000000000001004</v>
      </c>
      <c r="B122" s="1">
        <v>5.91</v>
      </c>
      <c r="C122">
        <v>14840</v>
      </c>
      <c r="D122" s="1">
        <f>1/('NTC PAW-A2W-TSOD'!$J$12+'NTC PAW-A2W-TSOD'!$J$13*LN(C122)+'NTC PAW-A2W-TSOD'!$J$14*(LN(C122))^3)-273.15</f>
        <v>6.0275814394538543</v>
      </c>
      <c r="E122" s="1">
        <f t="shared" si="6"/>
        <v>9.0000000000100222E-2</v>
      </c>
      <c r="F122" s="1">
        <f t="shared" si="7"/>
        <v>0.11758143945385413</v>
      </c>
      <c r="G122" s="1">
        <f t="shared" si="8"/>
        <v>-2.7581439453753909E-2</v>
      </c>
    </row>
    <row r="123" spans="1:7" x14ac:dyDescent="0.25">
      <c r="A123" s="1">
        <v>5.8000000000001002</v>
      </c>
      <c r="B123" s="1">
        <v>5.91</v>
      </c>
      <c r="C123">
        <v>14840</v>
      </c>
      <c r="D123" s="1">
        <f>1/('NTC PAW-A2W-TSOD'!$J$12+'NTC PAW-A2W-TSOD'!$J$13*LN(C123)+'NTC PAW-A2W-TSOD'!$J$14*(LN(C123))^3)-273.15</f>
        <v>6.0275814394538543</v>
      </c>
      <c r="E123" s="1">
        <f t="shared" si="6"/>
        <v>-0.10999999999989996</v>
      </c>
      <c r="F123" s="1">
        <f t="shared" si="7"/>
        <v>0.11758143945385413</v>
      </c>
      <c r="G123" s="1">
        <f t="shared" si="8"/>
        <v>-0.22758143945375409</v>
      </c>
    </row>
    <row r="124" spans="1:7" x14ac:dyDescent="0.25">
      <c r="A124" s="1">
        <v>5.6000000000001</v>
      </c>
      <c r="B124" s="1">
        <v>5.62</v>
      </c>
      <c r="C124" s="2">
        <v>15070</v>
      </c>
      <c r="D124" s="1">
        <f>1/('NTC PAW-A2W-TSOD'!$J$12+'NTC PAW-A2W-TSOD'!$J$13*LN(C124)+'NTC PAW-A2W-TSOD'!$J$14*(LN(C124))^3)-273.15</f>
        <v>5.6915414699558369</v>
      </c>
      <c r="E124" s="1">
        <f t="shared" si="6"/>
        <v>-1.9999999999900098E-2</v>
      </c>
      <c r="F124" s="1">
        <f t="shared" si="7"/>
        <v>7.1541469955836767E-2</v>
      </c>
      <c r="G124" s="1">
        <f t="shared" si="8"/>
        <v>-9.1541469955736865E-2</v>
      </c>
    </row>
    <row r="125" spans="1:7" x14ac:dyDescent="0.25">
      <c r="A125" s="1">
        <v>5.4000000000000998</v>
      </c>
      <c r="B125" s="1">
        <v>5.35</v>
      </c>
      <c r="C125" s="2">
        <v>15250</v>
      </c>
      <c r="D125" s="1">
        <f>1/('NTC PAW-A2W-TSOD'!$J$12+'NTC PAW-A2W-TSOD'!$J$13*LN(C125)+'NTC PAW-A2W-TSOD'!$J$14*(LN(C125))^3)-273.15</f>
        <v>5.4325603313872648</v>
      </c>
      <c r="E125" s="1">
        <f t="shared" si="6"/>
        <v>5.0000000000100187E-2</v>
      </c>
      <c r="F125" s="1">
        <f t="shared" si="7"/>
        <v>8.2560331387265151E-2</v>
      </c>
      <c r="G125" s="1">
        <f t="shared" si="8"/>
        <v>-3.2560331387164965E-2</v>
      </c>
    </row>
    <row r="126" spans="1:7" x14ac:dyDescent="0.25">
      <c r="A126" s="1">
        <v>5.2000000000000997</v>
      </c>
      <c r="B126" s="1">
        <v>5.07</v>
      </c>
      <c r="C126" s="2">
        <v>15440</v>
      </c>
      <c r="D126" s="1">
        <f>1/('NTC PAW-A2W-TSOD'!$J$12+'NTC PAW-A2W-TSOD'!$J$13*LN(C126)+'NTC PAW-A2W-TSOD'!$J$14*(LN(C126))^3)-273.15</f>
        <v>5.1629018393232968</v>
      </c>
      <c r="E126" s="1">
        <f t="shared" si="6"/>
        <v>0.13000000000009937</v>
      </c>
      <c r="F126" s="1">
        <f t="shared" si="7"/>
        <v>9.2901839323296542E-2</v>
      </c>
      <c r="G126" s="1">
        <f t="shared" si="8"/>
        <v>3.7098160676802827E-2</v>
      </c>
    </row>
    <row r="127" spans="1:7" x14ac:dyDescent="0.25">
      <c r="A127" s="1">
        <v>5.0000000000001004</v>
      </c>
      <c r="B127" s="1">
        <v>5.07</v>
      </c>
      <c r="C127" s="2">
        <v>15440</v>
      </c>
      <c r="D127" s="1">
        <f>1/('NTC PAW-A2W-TSOD'!$J$12+'NTC PAW-A2W-TSOD'!$J$13*LN(C127)+'NTC PAW-A2W-TSOD'!$J$14*(LN(C127))^3)-273.15</f>
        <v>5.1629018393232968</v>
      </c>
      <c r="E127" s="1">
        <f t="shared" si="6"/>
        <v>-6.999999999989992E-2</v>
      </c>
      <c r="F127" s="1">
        <f t="shared" si="7"/>
        <v>9.2901839323296542E-2</v>
      </c>
      <c r="G127" s="1">
        <f t="shared" si="8"/>
        <v>-0.16290183932319646</v>
      </c>
    </row>
    <row r="128" spans="1:7" x14ac:dyDescent="0.25">
      <c r="A128" s="1">
        <v>4.8000000000001002</v>
      </c>
      <c r="B128" s="1">
        <v>4.8</v>
      </c>
      <c r="C128" s="2">
        <v>15630</v>
      </c>
      <c r="D128" s="1">
        <f>1/('NTC PAW-A2W-TSOD'!$J$12+'NTC PAW-A2W-TSOD'!$J$13*LN(C128)+'NTC PAW-A2W-TSOD'!$J$14*(LN(C128))^3)-273.15</f>
        <v>4.8969564193988049</v>
      </c>
      <c r="E128" s="1">
        <f t="shared" si="6"/>
        <v>1.0036416142611415E-13</v>
      </c>
      <c r="F128" s="1">
        <f t="shared" si="7"/>
        <v>9.695641939880506E-2</v>
      </c>
      <c r="G128" s="1">
        <f t="shared" si="8"/>
        <v>-9.6956419398704696E-2</v>
      </c>
    </row>
    <row r="129" spans="1:7" x14ac:dyDescent="0.25">
      <c r="A129" s="1">
        <v>4.6000000000001</v>
      </c>
      <c r="B129" s="1">
        <v>4.53</v>
      </c>
      <c r="C129" s="2">
        <v>15820</v>
      </c>
      <c r="D129" s="1">
        <f>1/('NTC PAW-A2W-TSOD'!$J$12+'NTC PAW-A2W-TSOD'!$J$13*LN(C129)+'NTC PAW-A2W-TSOD'!$J$14*(LN(C129))^3)-273.15</f>
        <v>4.6346283488981612</v>
      </c>
      <c r="E129" s="1">
        <f t="shared" si="6"/>
        <v>7.000000000009976E-2</v>
      </c>
      <c r="F129" s="1">
        <f t="shared" si="7"/>
        <v>0.10462834889816097</v>
      </c>
      <c r="G129" s="1">
        <f t="shared" si="8"/>
        <v>-3.4628348898061212E-2</v>
      </c>
    </row>
    <row r="130" spans="1:7" x14ac:dyDescent="0.25">
      <c r="A130" s="1">
        <v>4.4000000000000998</v>
      </c>
      <c r="B130" s="1">
        <v>4.53</v>
      </c>
      <c r="C130" s="2">
        <v>15820</v>
      </c>
      <c r="D130" s="1">
        <f>1/('NTC PAW-A2W-TSOD'!$J$12+'NTC PAW-A2W-TSOD'!$J$13*LN(C130)+'NTC PAW-A2W-TSOD'!$J$14*(LN(C130))^3)-273.15</f>
        <v>4.6346283488981612</v>
      </c>
      <c r="E130" s="1">
        <f t="shared" si="6"/>
        <v>-0.12999999999990042</v>
      </c>
      <c r="F130" s="1">
        <f t="shared" si="7"/>
        <v>0.10462834889816097</v>
      </c>
      <c r="G130" s="1">
        <f t="shared" si="8"/>
        <v>-0.23462834889806139</v>
      </c>
    </row>
    <row r="131" spans="1:7" x14ac:dyDescent="0.25">
      <c r="A131" s="1">
        <v>4.2000000000000997</v>
      </c>
      <c r="B131" s="1">
        <v>4.2699999999999996</v>
      </c>
      <c r="C131" s="2">
        <v>16010</v>
      </c>
      <c r="D131" s="1">
        <f>1/('NTC PAW-A2W-TSOD'!$J$12+'NTC PAW-A2W-TSOD'!$J$13*LN(C131)+'NTC PAW-A2W-TSOD'!$J$14*(LN(C131))^3)-273.15</f>
        <v>4.3758254910402457</v>
      </c>
      <c r="E131" s="1">
        <f t="shared" ref="E131:E194" si="9">A131-B131</f>
        <v>-6.999999999989992E-2</v>
      </c>
      <c r="F131" s="1">
        <f t="shared" ref="F131:F194" si="10">D131-B131</f>
        <v>0.10582549104024608</v>
      </c>
      <c r="G131" s="1">
        <f t="shared" ref="G131:G194" si="11">A131-D131</f>
        <v>-0.175825491040146</v>
      </c>
    </row>
    <row r="132" spans="1:7" x14ac:dyDescent="0.25">
      <c r="A132" s="1">
        <v>4.0000000000001004</v>
      </c>
      <c r="B132" s="1">
        <v>4.01</v>
      </c>
      <c r="C132">
        <v>16180</v>
      </c>
      <c r="D132" s="1">
        <f>1/('NTC PAW-A2W-TSOD'!$J$12+'NTC PAW-A2W-TSOD'!$J$13*LN(C132)+'NTC PAW-A2W-TSOD'!$J$14*(LN(C132))^3)-273.15</f>
        <v>4.1471805297116475</v>
      </c>
      <c r="E132" s="1">
        <f t="shared" si="9"/>
        <v>-9.9999999998994227E-3</v>
      </c>
      <c r="F132" s="1">
        <f t="shared" si="10"/>
        <v>0.13718052971164774</v>
      </c>
      <c r="G132" s="1">
        <f t="shared" si="11"/>
        <v>-0.14718052971154716</v>
      </c>
    </row>
    <row r="133" spans="1:7" x14ac:dyDescent="0.25">
      <c r="A133" s="1">
        <v>3.8000000000001002</v>
      </c>
      <c r="B133" s="1">
        <v>3.75</v>
      </c>
      <c r="C133" s="2">
        <v>16410</v>
      </c>
      <c r="D133" s="1">
        <f>1/('NTC PAW-A2W-TSOD'!$J$12+'NTC PAW-A2W-TSOD'!$J$13*LN(C133)+'NTC PAW-A2W-TSOD'!$J$14*(LN(C133))^3)-273.15</f>
        <v>3.8421073653535132</v>
      </c>
      <c r="E133" s="1">
        <f t="shared" si="9"/>
        <v>5.0000000000100187E-2</v>
      </c>
      <c r="F133" s="1">
        <f t="shared" si="10"/>
        <v>9.210736535351316E-2</v>
      </c>
      <c r="G133" s="1">
        <f t="shared" si="11"/>
        <v>-4.2107365353412973E-2</v>
      </c>
    </row>
    <row r="134" spans="1:7" x14ac:dyDescent="0.25">
      <c r="A134" s="1">
        <v>3.6000000000001</v>
      </c>
      <c r="B134" s="1">
        <v>3.5</v>
      </c>
      <c r="C134" s="2">
        <v>16580</v>
      </c>
      <c r="D134" s="1">
        <f>1/('NTC PAW-A2W-TSOD'!$J$12+'NTC PAW-A2W-TSOD'!$J$13*LN(C134)+'NTC PAW-A2W-TSOD'!$J$14*(LN(C134))^3)-273.15</f>
        <v>3.6196970085884459</v>
      </c>
      <c r="E134" s="1">
        <f t="shared" si="9"/>
        <v>0.10000000000010001</v>
      </c>
      <c r="F134" s="1">
        <f t="shared" si="10"/>
        <v>0.1196970085884459</v>
      </c>
      <c r="G134" s="1">
        <f t="shared" si="11"/>
        <v>-1.9697008588345888E-2</v>
      </c>
    </row>
    <row r="135" spans="1:7" x14ac:dyDescent="0.25">
      <c r="A135" s="1">
        <v>3.4000000000000998</v>
      </c>
      <c r="B135" s="1">
        <v>3.5</v>
      </c>
      <c r="C135" s="2">
        <v>16580</v>
      </c>
      <c r="D135" s="1">
        <f>1/('NTC PAW-A2W-TSOD'!$J$12+'NTC PAW-A2W-TSOD'!$J$13*LN(C135)+'NTC PAW-A2W-TSOD'!$J$14*(LN(C135))^3)-273.15</f>
        <v>3.6196970085884459</v>
      </c>
      <c r="E135" s="1">
        <f t="shared" si="9"/>
        <v>-9.9999999999900169E-2</v>
      </c>
      <c r="F135" s="1">
        <f t="shared" si="10"/>
        <v>0.1196970085884459</v>
      </c>
      <c r="G135" s="1">
        <f t="shared" si="11"/>
        <v>-0.21969700858834607</v>
      </c>
    </row>
    <row r="136" spans="1:7" x14ac:dyDescent="0.25">
      <c r="A136" s="1">
        <v>3.2000000000001001</v>
      </c>
      <c r="B136" s="1">
        <v>3.25</v>
      </c>
      <c r="C136" s="2">
        <v>16780</v>
      </c>
      <c r="D136" s="1">
        <f>1/('NTC PAW-A2W-TSOD'!$J$12+'NTC PAW-A2W-TSOD'!$J$13*LN(C136)+'NTC PAW-A2W-TSOD'!$J$14*(LN(C136))^3)-273.15</f>
        <v>3.3613022317231867</v>
      </c>
      <c r="E136" s="1">
        <f t="shared" si="9"/>
        <v>-4.9999999999899902E-2</v>
      </c>
      <c r="F136" s="1">
        <f t="shared" si="10"/>
        <v>0.11130223172318665</v>
      </c>
      <c r="G136" s="1">
        <f t="shared" si="11"/>
        <v>-0.16130223172308655</v>
      </c>
    </row>
    <row r="137" spans="1:7" x14ac:dyDescent="0.25">
      <c r="A137" s="1">
        <v>3.0000000000000999</v>
      </c>
      <c r="B137" s="1">
        <v>3</v>
      </c>
      <c r="C137" s="2">
        <v>16960</v>
      </c>
      <c r="D137" s="1">
        <f>1/('NTC PAW-A2W-TSOD'!$J$12+'NTC PAW-A2W-TSOD'!$J$13*LN(C137)+'NTC PAW-A2W-TSOD'!$J$14*(LN(C137))^3)-273.15</f>
        <v>3.1316944032438983</v>
      </c>
      <c r="E137" s="1">
        <f t="shared" si="9"/>
        <v>9.9920072216264089E-14</v>
      </c>
      <c r="F137" s="1">
        <f t="shared" si="10"/>
        <v>0.13169440324389825</v>
      </c>
      <c r="G137" s="1">
        <f t="shared" si="11"/>
        <v>-0.13169440324379833</v>
      </c>
    </row>
    <row r="138" spans="1:7" x14ac:dyDescent="0.25">
      <c r="A138" s="1">
        <v>2.8000000000001002</v>
      </c>
      <c r="B138" s="1">
        <v>2.76</v>
      </c>
      <c r="C138" s="2">
        <v>17160</v>
      </c>
      <c r="D138" s="1">
        <f>1/('NTC PAW-A2W-TSOD'!$J$12+'NTC PAW-A2W-TSOD'!$J$13*LN(C138)+'NTC PAW-A2W-TSOD'!$J$14*(LN(C138))^3)-273.15</f>
        <v>2.8797704193108302</v>
      </c>
      <c r="E138" s="1">
        <f t="shared" si="9"/>
        <v>4.00000000001004E-2</v>
      </c>
      <c r="F138" s="1">
        <f t="shared" si="10"/>
        <v>0.11977041931083043</v>
      </c>
      <c r="G138" s="1">
        <f t="shared" si="11"/>
        <v>-7.9770419310730034E-2</v>
      </c>
    </row>
    <row r="139" spans="1:7" x14ac:dyDescent="0.25">
      <c r="A139" s="1">
        <v>2.6000000000001</v>
      </c>
      <c r="B139" s="1">
        <v>2.52</v>
      </c>
      <c r="C139" s="2">
        <v>17360</v>
      </c>
      <c r="D139" s="1">
        <f>1/('NTC PAW-A2W-TSOD'!$J$12+'NTC PAW-A2W-TSOD'!$J$13*LN(C139)+'NTC PAW-A2W-TSOD'!$J$14*(LN(C139))^3)-273.15</f>
        <v>2.631130107125216</v>
      </c>
      <c r="E139" s="1">
        <f t="shared" si="9"/>
        <v>8.0000000000099991E-2</v>
      </c>
      <c r="F139" s="1">
        <f t="shared" si="10"/>
        <v>0.11113010712521598</v>
      </c>
      <c r="G139" s="1">
        <f t="shared" si="11"/>
        <v>-3.1130107125115991E-2</v>
      </c>
    </row>
    <row r="140" spans="1:7" x14ac:dyDescent="0.25">
      <c r="A140" s="1">
        <v>2.4000000000000998</v>
      </c>
      <c r="B140" s="1">
        <v>2.52</v>
      </c>
      <c r="C140" s="2">
        <v>17360</v>
      </c>
      <c r="D140" s="1">
        <f>1/('NTC PAW-A2W-TSOD'!$J$12+'NTC PAW-A2W-TSOD'!$J$13*LN(C140)+'NTC PAW-A2W-TSOD'!$J$14*(LN(C140))^3)-273.15</f>
        <v>2.631130107125216</v>
      </c>
      <c r="E140" s="1">
        <f t="shared" si="9"/>
        <v>-0.11999999999990019</v>
      </c>
      <c r="F140" s="1">
        <f t="shared" si="10"/>
        <v>0.11113010712521598</v>
      </c>
      <c r="G140" s="1">
        <f t="shared" si="11"/>
        <v>-0.23113010712511617</v>
      </c>
    </row>
    <row r="141" spans="1:7" x14ac:dyDescent="0.25">
      <c r="A141" s="1">
        <v>2.2000000000001001</v>
      </c>
      <c r="B141" s="1">
        <v>2.2799999999999998</v>
      </c>
      <c r="C141" s="2">
        <v>17550</v>
      </c>
      <c r="D141" s="1">
        <f>1/('NTC PAW-A2W-TSOD'!$J$12+'NTC PAW-A2W-TSOD'!$J$13*LN(C141)+'NTC PAW-A2W-TSOD'!$J$14*(LN(C141))^3)-273.15</f>
        <v>2.3978902189831501</v>
      </c>
      <c r="E141" s="1">
        <f t="shared" si="9"/>
        <v>-7.9999999999899707E-2</v>
      </c>
      <c r="F141" s="1">
        <f t="shared" si="10"/>
        <v>0.11789021898315033</v>
      </c>
      <c r="G141" s="1">
        <f t="shared" si="11"/>
        <v>-0.19789021898305004</v>
      </c>
    </row>
    <row r="142" spans="1:7" x14ac:dyDescent="0.25">
      <c r="A142" s="1">
        <v>2.0000000000000999</v>
      </c>
      <c r="B142" s="1">
        <v>2.0499999999999998</v>
      </c>
      <c r="C142">
        <v>17700</v>
      </c>
      <c r="D142" s="1">
        <f>1/('NTC PAW-A2W-TSOD'!$J$12+'NTC PAW-A2W-TSOD'!$J$13*LN(C142)+'NTC PAW-A2W-TSOD'!$J$14*(LN(C142))^3)-273.15</f>
        <v>2.2157519733023037</v>
      </c>
      <c r="E142" s="1">
        <f t="shared" si="9"/>
        <v>-4.9999999999899902E-2</v>
      </c>
      <c r="F142" s="1">
        <f t="shared" si="10"/>
        <v>0.16575197330230385</v>
      </c>
      <c r="G142" s="1">
        <f t="shared" si="11"/>
        <v>-0.21575197330220375</v>
      </c>
    </row>
    <row r="143" spans="1:7" x14ac:dyDescent="0.25">
      <c r="A143" s="1">
        <v>1.8000000000001</v>
      </c>
      <c r="B143" s="1">
        <v>1.82</v>
      </c>
      <c r="C143" s="2">
        <v>17930</v>
      </c>
      <c r="D143" s="1">
        <f>1/('NTC PAW-A2W-TSOD'!$J$12+'NTC PAW-A2W-TSOD'!$J$13*LN(C143)+'NTC PAW-A2W-TSOD'!$J$14*(LN(C143))^3)-273.15</f>
        <v>1.9398204069758549</v>
      </c>
      <c r="E143" s="1">
        <f t="shared" si="9"/>
        <v>-1.9999999999900098E-2</v>
      </c>
      <c r="F143" s="1">
        <f t="shared" si="10"/>
        <v>0.11982040697585483</v>
      </c>
      <c r="G143" s="1">
        <f t="shared" si="11"/>
        <v>-0.13982040697575493</v>
      </c>
    </row>
    <row r="144" spans="1:7" x14ac:dyDescent="0.25">
      <c r="A144" s="1">
        <v>1.6000000000001</v>
      </c>
      <c r="B144" s="1">
        <v>1.59</v>
      </c>
      <c r="C144" s="2">
        <v>18120</v>
      </c>
      <c r="D144" s="1">
        <f>1/('NTC PAW-A2W-TSOD'!$J$12+'NTC PAW-A2W-TSOD'!$J$13*LN(C144)+'NTC PAW-A2W-TSOD'!$J$14*(LN(C144))^3)-273.15</f>
        <v>1.7148642649250974</v>
      </c>
      <c r="E144" s="1">
        <f t="shared" si="9"/>
        <v>1.0000000000099929E-2</v>
      </c>
      <c r="F144" s="1">
        <f t="shared" si="10"/>
        <v>0.12486426492509728</v>
      </c>
      <c r="G144" s="1">
        <f t="shared" si="11"/>
        <v>-0.11486426492499735</v>
      </c>
    </row>
    <row r="145" spans="1:7" x14ac:dyDescent="0.25">
      <c r="A145" s="1">
        <v>1.4000000000001001</v>
      </c>
      <c r="B145" s="1">
        <v>1.36</v>
      </c>
      <c r="C145" s="2">
        <v>18310</v>
      </c>
      <c r="D145" s="1">
        <f>1/('NTC PAW-A2W-TSOD'!$J$12+'NTC PAW-A2W-TSOD'!$J$13*LN(C145)+'NTC PAW-A2W-TSOD'!$J$14*(LN(C145))^3)-273.15</f>
        <v>1.492546597961109</v>
      </c>
      <c r="E145" s="1">
        <f t="shared" si="9"/>
        <v>4.0000000000099956E-2</v>
      </c>
      <c r="F145" s="1">
        <f t="shared" si="10"/>
        <v>0.1325465979611089</v>
      </c>
      <c r="G145" s="1">
        <f t="shared" si="11"/>
        <v>-9.2546597961008947E-2</v>
      </c>
    </row>
    <row r="146" spans="1:7" x14ac:dyDescent="0.25">
      <c r="A146" s="1">
        <v>1.2000000000001001</v>
      </c>
      <c r="B146" s="1">
        <v>1.1399999999999999</v>
      </c>
      <c r="C146" s="2">
        <v>18480</v>
      </c>
      <c r="D146" s="1">
        <f>1/('NTC PAW-A2W-TSOD'!$J$12+'NTC PAW-A2W-TSOD'!$J$13*LN(C146)+'NTC PAW-A2W-TSOD'!$J$14*(LN(C146))^3)-273.15</f>
        <v>1.2958197420142028</v>
      </c>
      <c r="E146" s="1">
        <f t="shared" si="9"/>
        <v>6.0000000000100195E-2</v>
      </c>
      <c r="F146" s="1">
        <f t="shared" si="10"/>
        <v>0.1558197420142029</v>
      </c>
      <c r="G146" s="1">
        <f t="shared" si="11"/>
        <v>-9.5819742014102705E-2</v>
      </c>
    </row>
    <row r="147" spans="1:7" x14ac:dyDescent="0.25">
      <c r="A147" s="1">
        <v>1.0000000000000999</v>
      </c>
      <c r="B147" s="1">
        <v>0.92</v>
      </c>
      <c r="C147" s="2">
        <v>18680</v>
      </c>
      <c r="D147" s="1">
        <f>1/('NTC PAW-A2W-TSOD'!$J$12+'NTC PAW-A2W-TSOD'!$J$13*LN(C147)+'NTC PAW-A2W-TSOD'!$J$14*(LN(C147))^3)-273.15</f>
        <v>1.0669664770426834</v>
      </c>
      <c r="E147" s="1">
        <f t="shared" si="9"/>
        <v>8.000000000009988E-2</v>
      </c>
      <c r="F147" s="1">
        <f t="shared" si="10"/>
        <v>0.1469664770426834</v>
      </c>
      <c r="G147" s="1">
        <f t="shared" si="11"/>
        <v>-6.6966477042583517E-2</v>
      </c>
    </row>
    <row r="148" spans="1:7" x14ac:dyDescent="0.25">
      <c r="A148" s="1">
        <v>0.80000000000009996</v>
      </c>
      <c r="B148" s="1">
        <v>0.7</v>
      </c>
      <c r="C148" s="2">
        <v>18880</v>
      </c>
      <c r="D148" s="1">
        <f>1/('NTC PAW-A2W-TSOD'!$J$12+'NTC PAW-A2W-TSOD'!$J$13*LN(C148)+'NTC PAW-A2W-TSOD'!$J$14*(LN(C148))^3)-273.15</f>
        <v>0.84085292749608698</v>
      </c>
      <c r="E148" s="1">
        <f t="shared" si="9"/>
        <v>0.10000000000010001</v>
      </c>
      <c r="F148" s="1">
        <f t="shared" si="10"/>
        <v>0.14085292749608702</v>
      </c>
      <c r="G148" s="1">
        <f t="shared" si="11"/>
        <v>-4.0852927495987013E-2</v>
      </c>
    </row>
    <row r="149" spans="1:7" x14ac:dyDescent="0.25">
      <c r="A149" s="1">
        <v>0.60000000000010101</v>
      </c>
      <c r="B149" s="1">
        <v>0.7</v>
      </c>
      <c r="C149" s="2">
        <v>18880</v>
      </c>
      <c r="D149" s="1">
        <f>1/('NTC PAW-A2W-TSOD'!$J$12+'NTC PAW-A2W-TSOD'!$J$13*LN(C149)+'NTC PAW-A2W-TSOD'!$J$14*(LN(C149))^3)-273.15</f>
        <v>0.84085292749608698</v>
      </c>
      <c r="E149" s="1">
        <f t="shared" si="9"/>
        <v>-9.9999999999898948E-2</v>
      </c>
      <c r="F149" s="1">
        <f t="shared" si="10"/>
        <v>0.14085292749608702</v>
      </c>
      <c r="G149" s="1">
        <f t="shared" si="11"/>
        <v>-0.24085292749598597</v>
      </c>
    </row>
    <row r="150" spans="1:7" x14ac:dyDescent="0.25">
      <c r="A150" s="1">
        <v>0.400000000000102</v>
      </c>
      <c r="B150" s="1">
        <v>0.48</v>
      </c>
      <c r="C150" s="2">
        <v>19080</v>
      </c>
      <c r="D150" s="1">
        <f>1/('NTC PAW-A2W-TSOD'!$J$12+'NTC PAW-A2W-TSOD'!$J$13*LN(C150)+'NTC PAW-A2W-TSOD'!$J$14*(LN(C150))^3)-273.15</f>
        <v>0.61741754957807871</v>
      </c>
      <c r="E150" s="1">
        <f t="shared" si="9"/>
        <v>-7.9999999999897986E-2</v>
      </c>
      <c r="F150" s="1">
        <f t="shared" si="10"/>
        <v>0.13741754957807872</v>
      </c>
      <c r="G150" s="1">
        <f t="shared" si="11"/>
        <v>-0.21741754957797671</v>
      </c>
    </row>
    <row r="151" spans="1:7" x14ac:dyDescent="0.25">
      <c r="A151" s="1">
        <v>0.20000000000009899</v>
      </c>
      <c r="B151" s="1">
        <v>0.27</v>
      </c>
      <c r="C151" s="2">
        <v>19230</v>
      </c>
      <c r="D151" s="1">
        <f>1/('NTC PAW-A2W-TSOD'!$J$12+'NTC PAW-A2W-TSOD'!$J$13*LN(C151)+'NTC PAW-A2W-TSOD'!$J$14*(LN(C151))^3)-273.15</f>
        <v>0.45156268129323962</v>
      </c>
      <c r="E151" s="1">
        <f t="shared" si="9"/>
        <v>-6.999999999990103E-2</v>
      </c>
      <c r="F151" s="1">
        <f t="shared" si="10"/>
        <v>0.1815626812932396</v>
      </c>
      <c r="G151" s="1">
        <f t="shared" si="11"/>
        <v>-0.25156268129314063</v>
      </c>
    </row>
    <row r="152" spans="1:7" x14ac:dyDescent="0.25">
      <c r="A152" s="1">
        <v>9.9475983006414001E-14</v>
      </c>
      <c r="B152" s="1">
        <v>0.06</v>
      </c>
      <c r="C152">
        <v>19420</v>
      </c>
      <c r="D152" s="1">
        <f>1/('NTC PAW-A2W-TSOD'!$J$12+'NTC PAW-A2W-TSOD'!$J$13*LN(C152)+'NTC PAW-A2W-TSOD'!$J$14*(LN(C152))^3)-273.15</f>
        <v>0.24355626459333735</v>
      </c>
      <c r="E152" s="1">
        <f t="shared" si="9"/>
        <v>-5.9999999999900522E-2</v>
      </c>
      <c r="F152" s="1">
        <f t="shared" si="10"/>
        <v>0.18355626459333735</v>
      </c>
      <c r="G152" s="1">
        <f t="shared" si="11"/>
        <v>-0.24355626459323787</v>
      </c>
    </row>
    <row r="153" spans="1:7" x14ac:dyDescent="0.25">
      <c r="A153" s="1">
        <v>-0.19999999999990001</v>
      </c>
      <c r="B153" s="1">
        <v>-0.15</v>
      </c>
      <c r="C153" s="2">
        <v>19640</v>
      </c>
      <c r="D153" s="1">
        <f>1/('NTC PAW-A2W-TSOD'!$J$12+'NTC PAW-A2W-TSOD'!$J$13*LN(C153)+'NTC PAW-A2W-TSOD'!$J$14*(LN(C153))^3)-273.15</f>
        <v>5.546964176005531E-3</v>
      </c>
      <c r="E153" s="1">
        <f t="shared" si="9"/>
        <v>-4.9999999999900013E-2</v>
      </c>
      <c r="F153" s="1">
        <f t="shared" si="10"/>
        <v>0.15554696417600553</v>
      </c>
      <c r="G153" s="1">
        <f t="shared" si="11"/>
        <v>-0.20554696417590554</v>
      </c>
    </row>
    <row r="154" spans="1:7" x14ac:dyDescent="0.25">
      <c r="A154" s="1">
        <v>-0.39999999999989899</v>
      </c>
      <c r="B154" s="1">
        <v>-0.36</v>
      </c>
      <c r="C154" s="2">
        <v>19840</v>
      </c>
      <c r="D154" s="1">
        <f>1/('NTC PAW-A2W-TSOD'!$J$12+'NTC PAW-A2W-TSOD'!$J$13*LN(C154)+'NTC PAW-A2W-TSOD'!$J$14*(LN(C154))^3)-273.15</f>
        <v>-0.20823819668305532</v>
      </c>
      <c r="E154" s="1">
        <f t="shared" si="9"/>
        <v>-3.9999999999899005E-2</v>
      </c>
      <c r="F154" s="1">
        <f t="shared" si="10"/>
        <v>0.15176180331694467</v>
      </c>
      <c r="G154" s="1">
        <f t="shared" si="11"/>
        <v>-0.19176180331684367</v>
      </c>
    </row>
    <row r="155" spans="1:7" x14ac:dyDescent="0.25">
      <c r="A155" s="1">
        <v>-0.59999999999989795</v>
      </c>
      <c r="B155" s="1">
        <v>-0.56000000000000005</v>
      </c>
      <c r="C155" s="2">
        <v>20040</v>
      </c>
      <c r="D155" s="1">
        <f>1/('NTC PAW-A2W-TSOD'!$J$12+'NTC PAW-A2W-TSOD'!$J$13*LN(C155)+'NTC PAW-A2W-TSOD'!$J$14*(LN(C155))^3)-273.15</f>
        <v>-0.41961404257313006</v>
      </c>
      <c r="E155" s="1">
        <f t="shared" si="9"/>
        <v>-3.9999999999897895E-2</v>
      </c>
      <c r="F155" s="1">
        <f t="shared" si="10"/>
        <v>0.14038595742686999</v>
      </c>
      <c r="G155" s="1">
        <f t="shared" si="11"/>
        <v>-0.18038595742676788</v>
      </c>
    </row>
    <row r="156" spans="1:7" x14ac:dyDescent="0.25">
      <c r="A156" s="1">
        <v>-0.79999999999990101</v>
      </c>
      <c r="B156" s="1">
        <v>-0.76</v>
      </c>
      <c r="C156" s="2">
        <v>20220</v>
      </c>
      <c r="D156" s="1">
        <f>1/('NTC PAW-A2W-TSOD'!$J$12+'NTC PAW-A2W-TSOD'!$J$13*LN(C156)+'NTC PAW-A2W-TSOD'!$J$14*(LN(C156))^3)-273.15</f>
        <v>-0.6078345167079533</v>
      </c>
      <c r="E156" s="1">
        <f>A156-B156</f>
        <v>-3.9999999999901004E-2</v>
      </c>
      <c r="F156" s="1">
        <f>D156-B156</f>
        <v>0.15216548329204671</v>
      </c>
      <c r="G156" s="1">
        <f t="shared" si="11"/>
        <v>-0.19216548329194771</v>
      </c>
    </row>
    <row r="157" spans="1:7" x14ac:dyDescent="0.25">
      <c r="A157" s="1">
        <v>-0.99999999999990097</v>
      </c>
      <c r="B157" s="1">
        <v>-0.96</v>
      </c>
      <c r="C157" s="2">
        <v>20420</v>
      </c>
      <c r="D157" s="1">
        <f>1/('NTC PAW-A2W-TSOD'!$J$12+'NTC PAW-A2W-TSOD'!$J$13*LN(C157)+'NTC PAW-A2W-TSOD'!$J$14*(LN(C157))^3)-273.15</f>
        <v>-0.81477184467416919</v>
      </c>
      <c r="E157" s="1">
        <f>A157-B157</f>
        <v>-3.9999999999901004E-2</v>
      </c>
      <c r="F157" s="1">
        <f>D157-B157</f>
        <v>0.14522815532583078</v>
      </c>
      <c r="G157" s="1">
        <f t="shared" si="11"/>
        <v>-0.18522815532573178</v>
      </c>
    </row>
    <row r="158" spans="1:7" x14ac:dyDescent="0.25">
      <c r="A158" s="1">
        <v>-1.1999999999999</v>
      </c>
      <c r="B158" s="1">
        <v>-1.1599999999999999</v>
      </c>
      <c r="C158" s="2">
        <v>20600</v>
      </c>
      <c r="D158" s="1">
        <f>1/('NTC PAW-A2W-TSOD'!$J$12+'NTC PAW-A2W-TSOD'!$J$13*LN(C158)+'NTC PAW-A2W-TSOD'!$J$14*(LN(C158))^3)-273.15</f>
        <v>-0.99907691095114615</v>
      </c>
      <c r="E158" s="1">
        <f t="shared" si="9"/>
        <v>-3.9999999999900115E-2</v>
      </c>
      <c r="F158" s="1">
        <f t="shared" si="10"/>
        <v>0.16092308904885377</v>
      </c>
      <c r="G158" s="1">
        <f t="shared" si="11"/>
        <v>-0.20092308904875389</v>
      </c>
    </row>
    <row r="159" spans="1:7" x14ac:dyDescent="0.25">
      <c r="A159" s="1">
        <v>-1.3999999999999</v>
      </c>
      <c r="B159" s="1">
        <v>-1.36</v>
      </c>
      <c r="C159" s="2">
        <v>20790</v>
      </c>
      <c r="D159" s="1">
        <f>1/('NTC PAW-A2W-TSOD'!$J$12+'NTC PAW-A2W-TSOD'!$J$13*LN(C159)+'NTC PAW-A2W-TSOD'!$J$14*(LN(C159))^3)-273.15</f>
        <v>-1.1916677502251787</v>
      </c>
      <c r="E159" s="1">
        <f t="shared" si="9"/>
        <v>-3.9999999999899893E-2</v>
      </c>
      <c r="F159" s="1">
        <f t="shared" si="10"/>
        <v>0.16833224977482142</v>
      </c>
      <c r="G159" s="1">
        <f t="shared" si="11"/>
        <v>-0.20833224977472131</v>
      </c>
    </row>
    <row r="160" spans="1:7" x14ac:dyDescent="0.25">
      <c r="A160" s="1">
        <v>-1.5999999999998999</v>
      </c>
      <c r="B160" s="1">
        <v>-1.55</v>
      </c>
      <c r="C160" s="2">
        <v>20990</v>
      </c>
      <c r="D160" s="1">
        <f>1/('NTC PAW-A2W-TSOD'!$J$12+'NTC PAW-A2W-TSOD'!$J$13*LN(C160)+'NTC PAW-A2W-TSOD'!$J$14*(LN(C160))^3)-273.15</f>
        <v>-1.3922695950560069</v>
      </c>
      <c r="E160" s="1">
        <f t="shared" si="9"/>
        <v>-4.9999999999899902E-2</v>
      </c>
      <c r="F160" s="1">
        <f t="shared" si="10"/>
        <v>0.15773040494399315</v>
      </c>
      <c r="G160" s="1">
        <f t="shared" si="11"/>
        <v>-0.20773040494389305</v>
      </c>
    </row>
    <row r="161" spans="1:7" x14ac:dyDescent="0.25">
      <c r="A161" s="1">
        <v>-1.7999999999998999</v>
      </c>
      <c r="B161" s="1">
        <v>-1.74</v>
      </c>
      <c r="C161" s="2">
        <v>21180</v>
      </c>
      <c r="D161" s="1">
        <f>1/('NTC PAW-A2W-TSOD'!$J$12+'NTC PAW-A2W-TSOD'!$J$13*LN(C161)+'NTC PAW-A2W-TSOD'!$J$14*(LN(C161))^3)-273.15</f>
        <v>-1.5808617135936629</v>
      </c>
      <c r="E161" s="1">
        <f t="shared" si="9"/>
        <v>-5.9999999999899911E-2</v>
      </c>
      <c r="F161" s="1">
        <f t="shared" si="10"/>
        <v>0.15913828640633709</v>
      </c>
      <c r="G161" s="1">
        <f t="shared" si="11"/>
        <v>-0.219138286406237</v>
      </c>
    </row>
    <row r="162" spans="1:7" x14ac:dyDescent="0.25">
      <c r="A162" s="1">
        <v>-1.9999999999999001</v>
      </c>
      <c r="B162" s="1">
        <v>-1.93</v>
      </c>
      <c r="C162">
        <v>21330</v>
      </c>
      <c r="D162" s="1">
        <f>1/('NTC PAW-A2W-TSOD'!$J$12+'NTC PAW-A2W-TSOD'!$J$13*LN(C162)+'NTC PAW-A2W-TSOD'!$J$14*(LN(C162))^3)-273.15</f>
        <v>-1.7284123270410987</v>
      </c>
      <c r="E162" s="1">
        <f t="shared" si="9"/>
        <v>-6.9999999999900142E-2</v>
      </c>
      <c r="F162" s="1">
        <f t="shared" si="10"/>
        <v>0.20158767295890123</v>
      </c>
      <c r="G162" s="1">
        <f t="shared" si="11"/>
        <v>-0.27158767295880137</v>
      </c>
    </row>
    <row r="163" spans="1:7" x14ac:dyDescent="0.25">
      <c r="A163" s="1">
        <v>-2.1999999999998998</v>
      </c>
      <c r="B163" s="1">
        <v>-2.12</v>
      </c>
      <c r="C163" s="2">
        <v>21570</v>
      </c>
      <c r="D163" s="1">
        <f>1/('NTC PAW-A2W-TSOD'!$J$12+'NTC PAW-A2W-TSOD'!$J$13*LN(C163)+'NTC PAW-A2W-TSOD'!$J$14*(LN(C163))^3)-273.15</f>
        <v>-1.9620849781801439</v>
      </c>
      <c r="E163" s="1">
        <f t="shared" si="9"/>
        <v>-7.9999999999899707E-2</v>
      </c>
      <c r="F163" s="1">
        <f t="shared" si="10"/>
        <v>0.15791502181985617</v>
      </c>
      <c r="G163" s="1">
        <f t="shared" si="11"/>
        <v>-0.23791502181975588</v>
      </c>
    </row>
    <row r="164" spans="1:7" x14ac:dyDescent="0.25">
      <c r="A164" s="1">
        <v>-2.3999999999999</v>
      </c>
      <c r="B164" s="1">
        <v>-2.4900000000000002</v>
      </c>
      <c r="C164" s="2">
        <v>21940</v>
      </c>
      <c r="D164" s="1">
        <f>1/('NTC PAW-A2W-TSOD'!$J$12+'NTC PAW-A2W-TSOD'!$J$13*LN(C164)+'NTC PAW-A2W-TSOD'!$J$14*(LN(C164))^3)-273.15</f>
        <v>-2.3166668246228141</v>
      </c>
      <c r="E164" s="1">
        <f t="shared" si="9"/>
        <v>9.0000000000100222E-2</v>
      </c>
      <c r="F164" s="1">
        <f t="shared" si="10"/>
        <v>0.17333317537718607</v>
      </c>
      <c r="G164" s="1">
        <f t="shared" si="11"/>
        <v>-8.3333175377085844E-2</v>
      </c>
    </row>
    <row r="165" spans="1:7" x14ac:dyDescent="0.25">
      <c r="A165" s="1">
        <v>-2.5999999999999002</v>
      </c>
      <c r="B165" s="1">
        <v>-2.67</v>
      </c>
      <c r="C165" s="2">
        <v>22140</v>
      </c>
      <c r="D165" s="1">
        <f>1/('NTC PAW-A2W-TSOD'!$J$12+'NTC PAW-A2W-TSOD'!$J$13*LN(C165)+'NTC PAW-A2W-TSOD'!$J$14*(LN(C165))^3)-273.15</f>
        <v>-2.505546838614805</v>
      </c>
      <c r="E165" s="1">
        <f t="shared" si="9"/>
        <v>7.000000000009976E-2</v>
      </c>
      <c r="F165" s="1">
        <f t="shared" si="10"/>
        <v>0.16445316138519495</v>
      </c>
      <c r="G165" s="1">
        <f t="shared" si="11"/>
        <v>-9.4453161385095186E-2</v>
      </c>
    </row>
    <row r="166" spans="1:7" x14ac:dyDescent="0.25">
      <c r="A166" s="1">
        <v>-2.7999999999998999</v>
      </c>
      <c r="B166" s="1">
        <v>-2.85</v>
      </c>
      <c r="C166" s="2">
        <v>22350</v>
      </c>
      <c r="D166" s="1">
        <f>1/('NTC PAW-A2W-TSOD'!$J$12+'NTC PAW-A2W-TSOD'!$J$13*LN(C166)+'NTC PAW-A2W-TSOD'!$J$14*(LN(C166))^3)-273.15</f>
        <v>-2.7018192168297333</v>
      </c>
      <c r="E166" s="1">
        <f t="shared" si="9"/>
        <v>5.0000000000100187E-2</v>
      </c>
      <c r="F166" s="1">
        <f t="shared" si="10"/>
        <v>0.14818078317026684</v>
      </c>
      <c r="G166" s="1">
        <f t="shared" si="11"/>
        <v>-9.8180783170166652E-2</v>
      </c>
    </row>
    <row r="167" spans="1:7" x14ac:dyDescent="0.25">
      <c r="A167" s="1">
        <v>-2.9999999999999001</v>
      </c>
      <c r="B167" s="1">
        <v>-3.03</v>
      </c>
      <c r="C167" s="2">
        <v>22540</v>
      </c>
      <c r="D167" s="1">
        <f>1/('NTC PAW-A2W-TSOD'!$J$12+'NTC PAW-A2W-TSOD'!$J$13*LN(C167)+'NTC PAW-A2W-TSOD'!$J$14*(LN(C167))^3)-273.15</f>
        <v>-2.877622401316728</v>
      </c>
      <c r="E167" s="1">
        <f t="shared" si="9"/>
        <v>3.0000000000099725E-2</v>
      </c>
      <c r="F167" s="1">
        <f t="shared" si="10"/>
        <v>0.15237759868327183</v>
      </c>
      <c r="G167" s="1">
        <f t="shared" si="11"/>
        <v>-0.12237759868317211</v>
      </c>
    </row>
    <row r="168" spans="1:7" x14ac:dyDescent="0.25">
      <c r="A168" s="1">
        <v>-3.1999999999998998</v>
      </c>
      <c r="B168" s="1">
        <v>-3.21</v>
      </c>
      <c r="C168" s="2">
        <v>22730</v>
      </c>
      <c r="D168" s="1">
        <f>1/('NTC PAW-A2W-TSOD'!$J$12+'NTC PAW-A2W-TSOD'!$J$13*LN(C168)+'NTC PAW-A2W-TSOD'!$J$14*(LN(C168))^3)-273.15</f>
        <v>-3.0517690688520247</v>
      </c>
      <c r="E168" s="1">
        <f t="shared" si="9"/>
        <v>1.0000000000100151E-2</v>
      </c>
      <c r="F168" s="1">
        <f t="shared" si="10"/>
        <v>0.15823093114797526</v>
      </c>
      <c r="G168" s="1">
        <f t="shared" si="11"/>
        <v>-0.14823093114787511</v>
      </c>
    </row>
    <row r="169" spans="1:7" x14ac:dyDescent="0.25">
      <c r="A169" s="1">
        <v>-3.3999999999999</v>
      </c>
      <c r="B169" s="1">
        <v>-3.38</v>
      </c>
      <c r="C169" s="2">
        <v>22910</v>
      </c>
      <c r="D169" s="1">
        <f>1/('NTC PAW-A2W-TSOD'!$J$12+'NTC PAW-A2W-TSOD'!$J$13*LN(C169)+'NTC PAW-A2W-TSOD'!$J$14*(LN(C169))^3)-273.15</f>
        <v>-3.2152487170158679</v>
      </c>
      <c r="E169" s="1">
        <f t="shared" si="9"/>
        <v>-1.9999999999900098E-2</v>
      </c>
      <c r="F169" s="1">
        <f t="shared" si="10"/>
        <v>0.164751282984132</v>
      </c>
      <c r="G169" s="1">
        <f t="shared" si="11"/>
        <v>-0.18475128298403209</v>
      </c>
    </row>
    <row r="170" spans="1:7" x14ac:dyDescent="0.25">
      <c r="A170" s="1">
        <v>-3.5999999999999002</v>
      </c>
      <c r="B170" s="1">
        <v>-3.55</v>
      </c>
      <c r="C170" s="2">
        <v>23100</v>
      </c>
      <c r="D170" s="1">
        <f>1/('NTC PAW-A2W-TSOD'!$J$12+'NTC PAW-A2W-TSOD'!$J$13*LN(C170)+'NTC PAW-A2W-TSOD'!$J$14*(LN(C170))^3)-273.15</f>
        <v>-3.3862531408469749</v>
      </c>
      <c r="E170" s="1">
        <f t="shared" si="9"/>
        <v>-4.9999999999900346E-2</v>
      </c>
      <c r="F170" s="1">
        <f t="shared" si="10"/>
        <v>0.16374685915302489</v>
      </c>
      <c r="G170" s="1">
        <f t="shared" si="11"/>
        <v>-0.21374685915292524</v>
      </c>
    </row>
    <row r="171" spans="1:7" x14ac:dyDescent="0.25">
      <c r="A171" s="1">
        <v>-3.7999999999998999</v>
      </c>
      <c r="B171" s="1">
        <v>-3.73</v>
      </c>
      <c r="C171" s="2">
        <v>23300</v>
      </c>
      <c r="D171" s="1">
        <f>1/('NTC PAW-A2W-TSOD'!$J$12+'NTC PAW-A2W-TSOD'!$J$13*LN(C171)+'NTC PAW-A2W-TSOD'!$J$14*(LN(C171))^3)-273.15</f>
        <v>-3.5645599231192477</v>
      </c>
      <c r="E171" s="1">
        <f t="shared" si="9"/>
        <v>-6.999999999989992E-2</v>
      </c>
      <c r="F171" s="1">
        <f t="shared" si="10"/>
        <v>0.16544007688075224</v>
      </c>
      <c r="G171" s="1">
        <f t="shared" si="11"/>
        <v>-0.23544007688065216</v>
      </c>
    </row>
    <row r="172" spans="1:7" x14ac:dyDescent="0.25">
      <c r="A172" s="1">
        <v>-3.9999999999999001</v>
      </c>
      <c r="B172" s="1">
        <v>-4.0599999999999996</v>
      </c>
      <c r="C172">
        <v>23690</v>
      </c>
      <c r="D172" s="1">
        <f>1/('NTC PAW-A2W-TSOD'!$J$12+'NTC PAW-A2W-TSOD'!$J$13*LN(C172)+'NTC PAW-A2W-TSOD'!$J$14*(LN(C172))^3)-273.15</f>
        <v>-3.907367198893553</v>
      </c>
      <c r="E172" s="1">
        <f t="shared" si="9"/>
        <v>6.0000000000099529E-2</v>
      </c>
      <c r="F172" s="1">
        <f t="shared" si="10"/>
        <v>0.15263280110644661</v>
      </c>
      <c r="G172" s="1">
        <f t="shared" si="11"/>
        <v>-9.2632801106347085E-2</v>
      </c>
    </row>
    <row r="173" spans="1:7" x14ac:dyDescent="0.25">
      <c r="A173" s="1">
        <v>-4.1999999999998998</v>
      </c>
      <c r="B173" s="1">
        <v>-4.2300000000000004</v>
      </c>
      <c r="C173" s="2">
        <v>23890</v>
      </c>
      <c r="D173" s="1">
        <f>1/('NTC PAW-A2W-TSOD'!$J$12+'NTC PAW-A2W-TSOD'!$J$13*LN(C173)+'NTC PAW-A2W-TSOD'!$J$14*(LN(C173))^3)-273.15</f>
        <v>-4.0807168202995285</v>
      </c>
      <c r="E173" s="1">
        <f t="shared" si="9"/>
        <v>3.0000000000100613E-2</v>
      </c>
      <c r="F173" s="1">
        <f t="shared" si="10"/>
        <v>0.14928317970047189</v>
      </c>
      <c r="G173" s="1">
        <f t="shared" si="11"/>
        <v>-0.11928317970037128</v>
      </c>
    </row>
    <row r="174" spans="1:7" x14ac:dyDescent="0.25">
      <c r="A174" s="1">
        <v>-4.3999999999999</v>
      </c>
      <c r="B174" s="1">
        <v>-4.4000000000000004</v>
      </c>
      <c r="C174" s="2">
        <v>24070</v>
      </c>
      <c r="D174" s="1">
        <f>1/('NTC PAW-A2W-TSOD'!$J$12+'NTC PAW-A2W-TSOD'!$J$13*LN(C174)+'NTC PAW-A2W-TSOD'!$J$14*(LN(C174))^3)-273.15</f>
        <v>-4.2353442853152501</v>
      </c>
      <c r="E174" s="1">
        <f t="shared" si="9"/>
        <v>1.0036416142611415E-13</v>
      </c>
      <c r="F174" s="1">
        <f t="shared" si="10"/>
        <v>0.16465571468475027</v>
      </c>
      <c r="G174" s="1">
        <f t="shared" si="11"/>
        <v>-0.1646557146846499</v>
      </c>
    </row>
    <row r="175" spans="1:7" x14ac:dyDescent="0.25">
      <c r="A175" s="1">
        <v>-4.5999999999999002</v>
      </c>
      <c r="B175" s="1">
        <v>-4.5599999999999996</v>
      </c>
      <c r="C175" s="2">
        <v>24250</v>
      </c>
      <c r="D175" s="1">
        <f>1/('NTC PAW-A2W-TSOD'!$J$12+'NTC PAW-A2W-TSOD'!$J$13*LN(C175)+'NTC PAW-A2W-TSOD'!$J$14*(LN(C175))^3)-273.15</f>
        <v>-4.3886791915905974</v>
      </c>
      <c r="E175" s="1">
        <f t="shared" si="9"/>
        <v>-3.999999999990056E-2</v>
      </c>
      <c r="F175" s="1">
        <f t="shared" si="10"/>
        <v>0.17132080840940223</v>
      </c>
      <c r="G175" s="1">
        <f t="shared" si="11"/>
        <v>-0.21132080840930278</v>
      </c>
    </row>
    <row r="176" spans="1:7" x14ac:dyDescent="0.25">
      <c r="A176" s="1">
        <v>-4.7999999999999003</v>
      </c>
      <c r="B176" s="1">
        <v>-4.72</v>
      </c>
      <c r="C176" s="2">
        <v>24450</v>
      </c>
      <c r="D176" s="1">
        <f>1/('NTC PAW-A2W-TSOD'!$J$12+'NTC PAW-A2W-TSOD'!$J$13*LN(C176)+'NTC PAW-A2W-TSOD'!$J$14*(LN(C176))^3)-273.15</f>
        <v>-4.5575600886306233</v>
      </c>
      <c r="E176" s="1">
        <f t="shared" si="9"/>
        <v>-7.9999999999900595E-2</v>
      </c>
      <c r="F176" s="1">
        <f t="shared" si="10"/>
        <v>0.16243991136937641</v>
      </c>
      <c r="G176" s="1">
        <f t="shared" si="11"/>
        <v>-0.24243991136927701</v>
      </c>
    </row>
    <row r="177" spans="1:7" x14ac:dyDescent="0.25">
      <c r="A177" s="1">
        <v>-4.9999999999998996</v>
      </c>
      <c r="B177" s="1">
        <v>-5.05</v>
      </c>
      <c r="C177" s="2">
        <v>24840</v>
      </c>
      <c r="D177" s="1">
        <f>1/('NTC PAW-A2W-TSOD'!$J$12+'NTC PAW-A2W-TSOD'!$J$13*LN(C177)+'NTC PAW-A2W-TSOD'!$J$14*(LN(C177))^3)-273.15</f>
        <v>-4.8824628720005308</v>
      </c>
      <c r="E177" s="1">
        <f t="shared" si="9"/>
        <v>5.0000000000100187E-2</v>
      </c>
      <c r="F177" s="1">
        <f t="shared" si="10"/>
        <v>0.16753712799946907</v>
      </c>
      <c r="G177" s="1">
        <f t="shared" si="11"/>
        <v>-0.11753712799936888</v>
      </c>
    </row>
    <row r="178" spans="1:7" x14ac:dyDescent="0.25">
      <c r="A178" s="1">
        <v>-5.1999999999998998</v>
      </c>
      <c r="B178" s="1">
        <v>-5.2</v>
      </c>
      <c r="C178" s="2">
        <v>25030</v>
      </c>
      <c r="D178" s="1">
        <f>1/('NTC PAW-A2W-TSOD'!$J$12+'NTC PAW-A2W-TSOD'!$J$13*LN(C178)+'NTC PAW-A2W-TSOD'!$J$14*(LN(C178))^3)-273.15</f>
        <v>-5.038681421458989</v>
      </c>
      <c r="E178" s="1">
        <f t="shared" si="9"/>
        <v>1.0036416142611415E-13</v>
      </c>
      <c r="F178" s="1">
        <f t="shared" si="10"/>
        <v>0.16131857854101117</v>
      </c>
      <c r="G178" s="1">
        <f t="shared" si="11"/>
        <v>-0.16131857854091081</v>
      </c>
    </row>
    <row r="179" spans="1:7" x14ac:dyDescent="0.25">
      <c r="A179" s="1">
        <v>-5.3999999999999</v>
      </c>
      <c r="B179" s="1">
        <v>-5.36</v>
      </c>
      <c r="C179" s="2">
        <v>25230</v>
      </c>
      <c r="D179" s="1">
        <f>1/('NTC PAW-A2W-TSOD'!$J$12+'NTC PAW-A2W-TSOD'!$J$13*LN(C179)+'NTC PAW-A2W-TSOD'!$J$14*(LN(C179))^3)-273.15</f>
        <v>-5.2016909224561232</v>
      </c>
      <c r="E179" s="1">
        <f t="shared" si="9"/>
        <v>-3.9999999999899671E-2</v>
      </c>
      <c r="F179" s="1">
        <f t="shared" si="10"/>
        <v>0.15830907754387713</v>
      </c>
      <c r="G179" s="1">
        <f t="shared" si="11"/>
        <v>-0.1983090775437768</v>
      </c>
    </row>
    <row r="180" spans="1:7" x14ac:dyDescent="0.25">
      <c r="A180" s="1">
        <v>-5.5999999999999002</v>
      </c>
      <c r="B180" s="1">
        <v>-5.67</v>
      </c>
      <c r="C180" s="2">
        <v>25620</v>
      </c>
      <c r="D180" s="1">
        <f>1/('NTC PAW-A2W-TSOD'!$J$12+'NTC PAW-A2W-TSOD'!$J$13*LN(C180)+'NTC PAW-A2W-TSOD'!$J$14*(LN(C180))^3)-273.15</f>
        <v>-5.5154294924078613</v>
      </c>
      <c r="E180" s="1">
        <f t="shared" si="9"/>
        <v>7.000000000009976E-2</v>
      </c>
      <c r="F180" s="1">
        <f t="shared" si="10"/>
        <v>0.15457050759213864</v>
      </c>
      <c r="G180" s="1">
        <f t="shared" si="11"/>
        <v>-8.4570507592038879E-2</v>
      </c>
    </row>
    <row r="181" spans="1:7" x14ac:dyDescent="0.25">
      <c r="A181" s="1">
        <v>-5.7999999999999003</v>
      </c>
      <c r="B181" s="1">
        <v>-5.83</v>
      </c>
      <c r="C181" s="2">
        <v>25800</v>
      </c>
      <c r="D181" s="1">
        <f>1/('NTC PAW-A2W-TSOD'!$J$12+'NTC PAW-A2W-TSOD'!$J$13*LN(C181)+'NTC PAW-A2W-TSOD'!$J$14*(LN(C181))^3)-273.15</f>
        <v>-5.658429581251653</v>
      </c>
      <c r="E181" s="1">
        <f t="shared" si="9"/>
        <v>3.0000000000099725E-2</v>
      </c>
      <c r="F181" s="1">
        <f t="shared" si="10"/>
        <v>0.17157041874834711</v>
      </c>
      <c r="G181" s="1">
        <f t="shared" si="11"/>
        <v>-0.14157041874824738</v>
      </c>
    </row>
    <row r="182" spans="1:7" x14ac:dyDescent="0.25">
      <c r="A182" s="1">
        <v>-5.9999999999998996</v>
      </c>
      <c r="B182" s="1">
        <v>-5.98</v>
      </c>
      <c r="C182">
        <v>25990</v>
      </c>
      <c r="D182" s="1">
        <f>1/('NTC PAW-A2W-TSOD'!$J$12+'NTC PAW-A2W-TSOD'!$J$13*LN(C182)+'NTC PAW-A2W-TSOD'!$J$14*(LN(C182))^3)-273.15</f>
        <v>-5.8081649253026058</v>
      </c>
      <c r="E182" s="1">
        <f t="shared" si="9"/>
        <v>-1.999999999989921E-2</v>
      </c>
      <c r="F182" s="1">
        <f t="shared" si="10"/>
        <v>0.17183507469739467</v>
      </c>
      <c r="G182" s="1">
        <f t="shared" si="11"/>
        <v>-0.19183507469729388</v>
      </c>
    </row>
    <row r="183" spans="1:7" x14ac:dyDescent="0.25">
      <c r="A183" s="1">
        <v>-6.1999999999998998</v>
      </c>
      <c r="B183" s="1">
        <v>-6.13</v>
      </c>
      <c r="C183" s="2">
        <v>26190</v>
      </c>
      <c r="D183" s="1">
        <f>1/('NTC PAW-A2W-TSOD'!$J$12+'NTC PAW-A2W-TSOD'!$J$13*LN(C183)+'NTC PAW-A2W-TSOD'!$J$14*(LN(C183))^3)-273.15</f>
        <v>-5.9644602364364232</v>
      </c>
      <c r="E183" s="1">
        <f t="shared" si="9"/>
        <v>-6.999999999989992E-2</v>
      </c>
      <c r="F183" s="1">
        <f t="shared" si="10"/>
        <v>0.16553976356357669</v>
      </c>
      <c r="G183" s="1">
        <f t="shared" si="11"/>
        <v>-0.23553976356347661</v>
      </c>
    </row>
    <row r="184" spans="1:7" x14ac:dyDescent="0.25">
      <c r="A184" s="1">
        <v>-6.3999999999999</v>
      </c>
      <c r="B184" s="1">
        <v>-6.43</v>
      </c>
      <c r="C184" s="2">
        <v>26560</v>
      </c>
      <c r="D184" s="1">
        <f>1/('NTC PAW-A2W-TSOD'!$J$12+'NTC PAW-A2W-TSOD'!$J$13*LN(C184)+'NTC PAW-A2W-TSOD'!$J$14*(LN(C184))^3)-273.15</f>
        <v>-6.2501081013867861</v>
      </c>
      <c r="E184" s="1">
        <f t="shared" si="9"/>
        <v>3.0000000000099725E-2</v>
      </c>
      <c r="F184" s="1">
        <f t="shared" si="10"/>
        <v>0.17989189861321364</v>
      </c>
      <c r="G184" s="1">
        <f t="shared" si="11"/>
        <v>-0.14989189861311392</v>
      </c>
    </row>
    <row r="185" spans="1:7" x14ac:dyDescent="0.25">
      <c r="A185" s="1">
        <v>-6.5999999999999002</v>
      </c>
      <c r="B185" s="1">
        <v>-6.57</v>
      </c>
      <c r="C185" s="2">
        <v>26740</v>
      </c>
      <c r="D185" s="1">
        <f>1/('NTC PAW-A2W-TSOD'!$J$12+'NTC PAW-A2W-TSOD'!$J$13*LN(C185)+'NTC PAW-A2W-TSOD'!$J$14*(LN(C185))^3)-273.15</f>
        <v>-6.3874625226678745</v>
      </c>
      <c r="E185" s="1">
        <f t="shared" si="9"/>
        <v>-2.9999999999899885E-2</v>
      </c>
      <c r="F185" s="1">
        <f t="shared" si="10"/>
        <v>0.18253747733212577</v>
      </c>
      <c r="G185" s="1">
        <f t="shared" si="11"/>
        <v>-0.21253747733202566</v>
      </c>
    </row>
    <row r="186" spans="1:7" x14ac:dyDescent="0.25">
      <c r="A186" s="1">
        <v>-6.7999999999999003</v>
      </c>
      <c r="B186" s="1">
        <v>-6.86</v>
      </c>
      <c r="C186" s="2">
        <v>27140</v>
      </c>
      <c r="D186" s="1">
        <f>1/('NTC PAW-A2W-TSOD'!$J$12+'NTC PAW-A2W-TSOD'!$J$13*LN(C186)+'NTC PAW-A2W-TSOD'!$J$14*(LN(C186))^3)-273.15</f>
        <v>-6.6890172379227693</v>
      </c>
      <c r="E186" s="1">
        <f t="shared" si="9"/>
        <v>6.0000000000099973E-2</v>
      </c>
      <c r="F186" s="1">
        <f t="shared" si="10"/>
        <v>0.17098276207723107</v>
      </c>
      <c r="G186" s="1">
        <f t="shared" si="11"/>
        <v>-0.11098276207713109</v>
      </c>
    </row>
    <row r="187" spans="1:7" x14ac:dyDescent="0.25">
      <c r="A187" s="1">
        <v>-6.9999999999998996</v>
      </c>
      <c r="B187" s="1">
        <v>-7.01</v>
      </c>
      <c r="C187" s="2">
        <v>27330</v>
      </c>
      <c r="D187" s="1">
        <f>1/('NTC PAW-A2W-TSOD'!$J$12+'NTC PAW-A2W-TSOD'!$J$13*LN(C187)+'NTC PAW-A2W-TSOD'!$J$14*(LN(C187))^3)-273.15</f>
        <v>-6.830514561172663</v>
      </c>
      <c r="E187" s="1">
        <f t="shared" si="9"/>
        <v>1.0000000000100151E-2</v>
      </c>
      <c r="F187" s="1">
        <f t="shared" si="10"/>
        <v>0.17948543882733681</v>
      </c>
      <c r="G187" s="1">
        <f t="shared" si="11"/>
        <v>-0.16948543882723666</v>
      </c>
    </row>
    <row r="188" spans="1:7" x14ac:dyDescent="0.25">
      <c r="A188" s="1">
        <v>-7.1999999999998998</v>
      </c>
      <c r="B188" s="1">
        <v>-7.15</v>
      </c>
      <c r="C188" s="2">
        <v>27510</v>
      </c>
      <c r="D188" s="1">
        <f>1/('NTC PAW-A2W-TSOD'!$J$12+'NTC PAW-A2W-TSOD'!$J$13*LN(C188)+'NTC PAW-A2W-TSOD'!$J$14*(LN(C188))^3)-273.15</f>
        <v>-6.963550831891439</v>
      </c>
      <c r="E188" s="1">
        <f t="shared" si="9"/>
        <v>-4.9999999999899458E-2</v>
      </c>
      <c r="F188" s="1">
        <f t="shared" si="10"/>
        <v>0.18644916810856138</v>
      </c>
      <c r="G188" s="1">
        <f t="shared" si="11"/>
        <v>-0.23644916810846084</v>
      </c>
    </row>
    <row r="189" spans="1:7" x14ac:dyDescent="0.25">
      <c r="A189" s="1">
        <v>-7.3999999999999</v>
      </c>
      <c r="B189" s="1">
        <v>-7.43</v>
      </c>
      <c r="C189" s="2">
        <v>27880</v>
      </c>
      <c r="D189" s="1">
        <f>1/('NTC PAW-A2W-TSOD'!$J$12+'NTC PAW-A2W-TSOD'!$J$13*LN(C189)+'NTC PAW-A2W-TSOD'!$J$14*(LN(C189))^3)-273.15</f>
        <v>-7.2339750912958038</v>
      </c>
      <c r="E189" s="1">
        <f t="shared" si="9"/>
        <v>3.0000000000099725E-2</v>
      </c>
      <c r="F189" s="1">
        <f t="shared" si="10"/>
        <v>0.19602490870419587</v>
      </c>
      <c r="G189" s="1">
        <f t="shared" si="11"/>
        <v>-0.16602490870409614</v>
      </c>
    </row>
    <row r="190" spans="1:7" x14ac:dyDescent="0.25">
      <c r="A190" s="1">
        <v>-7.5999999999999002</v>
      </c>
      <c r="B190" s="1">
        <v>-7.57</v>
      </c>
      <c r="C190" s="2">
        <v>28090</v>
      </c>
      <c r="D190" s="1">
        <f>1/('NTC PAW-A2W-TSOD'!$J$12+'NTC PAW-A2W-TSOD'!$J$13*LN(C190)+'NTC PAW-A2W-TSOD'!$J$14*(LN(C190))^3)-273.15</f>
        <v>-7.3856751701111421</v>
      </c>
      <c r="E190" s="1">
        <f t="shared" si="9"/>
        <v>-2.9999999999899885E-2</v>
      </c>
      <c r="F190" s="1">
        <f t="shared" si="10"/>
        <v>0.18432482988885823</v>
      </c>
      <c r="G190" s="1">
        <f t="shared" si="11"/>
        <v>-0.21432482988875812</v>
      </c>
    </row>
    <row r="191" spans="1:7" x14ac:dyDescent="0.25">
      <c r="A191" s="1">
        <v>-7.7999999999999003</v>
      </c>
      <c r="B191" s="1">
        <v>-7.84</v>
      </c>
      <c r="C191" s="2">
        <v>28480</v>
      </c>
      <c r="D191" s="1">
        <f>1/('NTC PAW-A2W-TSOD'!$J$12+'NTC PAW-A2W-TSOD'!$J$13*LN(C191)+'NTC PAW-A2W-TSOD'!$J$14*(LN(C191))^3)-273.15</f>
        <v>-7.6640598365502228</v>
      </c>
      <c r="E191" s="1">
        <f t="shared" si="9"/>
        <v>4.0000000000099512E-2</v>
      </c>
      <c r="F191" s="1">
        <f t="shared" si="10"/>
        <v>0.17594016344977703</v>
      </c>
      <c r="G191" s="1">
        <f t="shared" si="11"/>
        <v>-0.13594016344967752</v>
      </c>
    </row>
    <row r="192" spans="1:7" x14ac:dyDescent="0.25">
      <c r="A192" s="1">
        <v>-7.9999999999998996</v>
      </c>
      <c r="B192" s="1">
        <v>-7.98</v>
      </c>
      <c r="C192">
        <v>28660</v>
      </c>
      <c r="D192" s="1">
        <f>1/('NTC PAW-A2W-TSOD'!$J$12+'NTC PAW-A2W-TSOD'!$J$13*LN(C192)+'NTC PAW-A2W-TSOD'!$J$14*(LN(C192))^3)-273.15</f>
        <v>-7.7911072588173056</v>
      </c>
      <c r="E192" s="1">
        <f t="shared" si="9"/>
        <v>-1.999999999989921E-2</v>
      </c>
      <c r="F192" s="1">
        <f t="shared" si="10"/>
        <v>0.18889274118269483</v>
      </c>
      <c r="G192" s="1">
        <f t="shared" si="11"/>
        <v>-0.20889274118259404</v>
      </c>
    </row>
    <row r="193" spans="1:7" x14ac:dyDescent="0.25">
      <c r="A193" s="1">
        <v>-8.1999999999998998</v>
      </c>
      <c r="B193" s="1">
        <v>-8.25</v>
      </c>
      <c r="C193" s="2">
        <v>29060</v>
      </c>
      <c r="D193" s="1">
        <f>1/('NTC PAW-A2W-TSOD'!$J$12+'NTC PAW-A2W-TSOD'!$J$13*LN(C193)+'NTC PAW-A2W-TSOD'!$J$14*(LN(C193))^3)-273.15</f>
        <v>-8.0702610682935187</v>
      </c>
      <c r="E193" s="1">
        <f t="shared" si="9"/>
        <v>5.0000000000100187E-2</v>
      </c>
      <c r="F193" s="1">
        <f t="shared" si="10"/>
        <v>0.17973893170648125</v>
      </c>
      <c r="G193" s="1">
        <f t="shared" si="11"/>
        <v>-0.12973893170638107</v>
      </c>
    </row>
    <row r="194" spans="1:7" x14ac:dyDescent="0.25">
      <c r="A194" s="1">
        <v>-8.3999999999999009</v>
      </c>
      <c r="B194" s="1">
        <v>-8.3800000000000008</v>
      </c>
      <c r="C194" s="2">
        <v>29250</v>
      </c>
      <c r="D194" s="1">
        <f>1/('NTC PAW-A2W-TSOD'!$J$12+'NTC PAW-A2W-TSOD'!$J$13*LN(C194)+'NTC PAW-A2W-TSOD'!$J$14*(LN(C194))^3)-273.15</f>
        <v>-8.2013543402636628</v>
      </c>
      <c r="E194" s="1">
        <f t="shared" si="9"/>
        <v>-1.9999999999900098E-2</v>
      </c>
      <c r="F194" s="1">
        <f t="shared" si="10"/>
        <v>0.17864565973633795</v>
      </c>
      <c r="G194" s="1">
        <f t="shared" si="11"/>
        <v>-0.19864565973623804</v>
      </c>
    </row>
    <row r="195" spans="1:7" x14ac:dyDescent="0.25">
      <c r="A195" s="1">
        <v>-8.5999999999999002</v>
      </c>
      <c r="B195" s="1">
        <v>-8.64</v>
      </c>
      <c r="C195" s="2">
        <v>29630</v>
      </c>
      <c r="D195" s="1">
        <f>1/('NTC PAW-A2W-TSOD'!$J$12+'NTC PAW-A2W-TSOD'!$J$13*LN(C195)+'NTC PAW-A2W-TSOD'!$J$14*(LN(C195))^3)-273.15</f>
        <v>-8.4607011890325339</v>
      </c>
      <c r="E195" s="1">
        <f t="shared" ref="E195:E252" si="12">A195-B195</f>
        <v>4.00000000001004E-2</v>
      </c>
      <c r="F195" s="1">
        <f t="shared" ref="F195:F252" si="13">D195-B195</f>
        <v>0.17929881096746669</v>
      </c>
      <c r="G195" s="1">
        <f t="shared" ref="G195:G252" si="14">A195-D195</f>
        <v>-0.13929881096736629</v>
      </c>
    </row>
    <row r="196" spans="1:7" x14ac:dyDescent="0.25">
      <c r="A196" s="1">
        <v>-8.7999999999998995</v>
      </c>
      <c r="B196" s="1">
        <v>-8.77</v>
      </c>
      <c r="C196" s="2">
        <v>29830</v>
      </c>
      <c r="D196" s="1">
        <f>1/('NTC PAW-A2W-TSOD'!$J$12+'NTC PAW-A2W-TSOD'!$J$13*LN(C196)+'NTC PAW-A2W-TSOD'!$J$14*(LN(C196))^3)-273.15</f>
        <v>-8.5957066928107793</v>
      </c>
      <c r="E196" s="1">
        <f t="shared" si="12"/>
        <v>-2.9999999999899885E-2</v>
      </c>
      <c r="F196" s="1">
        <f t="shared" si="13"/>
        <v>0.17429330718922031</v>
      </c>
      <c r="G196" s="1">
        <f t="shared" si="14"/>
        <v>-0.2042933071891202</v>
      </c>
    </row>
    <row r="197" spans="1:7" x14ac:dyDescent="0.25">
      <c r="A197" s="1">
        <v>-8.9999999999999005</v>
      </c>
      <c r="B197" s="1">
        <v>-9.0299999999999994</v>
      </c>
      <c r="C197" s="2">
        <v>30210</v>
      </c>
      <c r="D197" s="1">
        <f>1/('NTC PAW-A2W-TSOD'!$J$12+'NTC PAW-A2W-TSOD'!$J$13*LN(C197)+'NTC PAW-A2W-TSOD'!$J$14*(LN(C197))^3)-273.15</f>
        <v>-8.849445005749601</v>
      </c>
      <c r="E197" s="1">
        <f t="shared" si="12"/>
        <v>3.0000000000098836E-2</v>
      </c>
      <c r="F197" s="1">
        <f t="shared" si="13"/>
        <v>0.18055499425039834</v>
      </c>
      <c r="G197" s="1">
        <f t="shared" si="14"/>
        <v>-0.1505549942502995</v>
      </c>
    </row>
    <row r="198" spans="1:7" x14ac:dyDescent="0.25">
      <c r="A198" s="1">
        <v>-9.1999999999998998</v>
      </c>
      <c r="B198" s="1">
        <v>-9.16</v>
      </c>
      <c r="C198" s="2">
        <v>30400</v>
      </c>
      <c r="D198" s="1">
        <f>1/('NTC PAW-A2W-TSOD'!$J$12+'NTC PAW-A2W-TSOD'!$J$13*LN(C198)+'NTC PAW-A2W-TSOD'!$J$14*(LN(C198))^3)-273.15</f>
        <v>-8.97497655632327</v>
      </c>
      <c r="E198" s="1">
        <f t="shared" si="12"/>
        <v>-3.9999999999899671E-2</v>
      </c>
      <c r="F198" s="1">
        <f t="shared" si="13"/>
        <v>0.18502344367673018</v>
      </c>
      <c r="G198" s="1">
        <f t="shared" si="14"/>
        <v>-0.22502344367662985</v>
      </c>
    </row>
    <row r="199" spans="1:7" x14ac:dyDescent="0.25">
      <c r="A199" s="1">
        <v>-9.3999999999999009</v>
      </c>
      <c r="B199" s="1">
        <v>-9.41</v>
      </c>
      <c r="C199" s="2">
        <v>30780</v>
      </c>
      <c r="D199" s="1">
        <f>1/('NTC PAW-A2W-TSOD'!$J$12+'NTC PAW-A2W-TSOD'!$J$13*LN(C199)+'NTC PAW-A2W-TSOD'!$J$14*(LN(C199))^3)-273.15</f>
        <v>-9.2234232872985444</v>
      </c>
      <c r="E199" s="1">
        <f t="shared" si="12"/>
        <v>1.0000000000099263E-2</v>
      </c>
      <c r="F199" s="1">
        <f t="shared" si="13"/>
        <v>0.1865767127014557</v>
      </c>
      <c r="G199" s="1">
        <f t="shared" si="14"/>
        <v>-0.17657671270135644</v>
      </c>
    </row>
    <row r="200" spans="1:7" x14ac:dyDescent="0.25">
      <c r="A200" s="1">
        <v>-9.5999999999999002</v>
      </c>
      <c r="B200" s="1">
        <v>-9.66</v>
      </c>
      <c r="C200" s="2">
        <v>31160</v>
      </c>
      <c r="D200" s="1">
        <f>1/('NTC PAW-A2W-TSOD'!$J$12+'NTC PAW-A2W-TSOD'!$J$13*LN(C200)+'NTC PAW-A2W-TSOD'!$J$14*(LN(C200))^3)-273.15</f>
        <v>-9.468457344775743</v>
      </c>
      <c r="E200" s="1">
        <f t="shared" si="12"/>
        <v>6.0000000000099973E-2</v>
      </c>
      <c r="F200" s="1">
        <f t="shared" si="13"/>
        <v>0.19154265522425717</v>
      </c>
      <c r="G200" s="1">
        <f t="shared" si="14"/>
        <v>-0.1315426552241572</v>
      </c>
    </row>
    <row r="201" spans="1:7" x14ac:dyDescent="0.25">
      <c r="A201" s="1">
        <v>-9.7999999999998995</v>
      </c>
      <c r="B201" s="1">
        <v>-9.7799999999999994</v>
      </c>
      <c r="C201" s="2">
        <v>31370</v>
      </c>
      <c r="D201" s="1">
        <f>1/('NTC PAW-A2W-TSOD'!$J$12+'NTC PAW-A2W-TSOD'!$J$13*LN(C201)+'NTC PAW-A2W-TSOD'!$J$14*(LN(C201))^3)-273.15</f>
        <v>-9.6024390562491817</v>
      </c>
      <c r="E201" s="1">
        <f t="shared" si="12"/>
        <v>-1.9999999999900098E-2</v>
      </c>
      <c r="F201" s="1">
        <f t="shared" si="13"/>
        <v>0.17756094375081766</v>
      </c>
      <c r="G201" s="1">
        <f t="shared" si="14"/>
        <v>-0.19756094375071775</v>
      </c>
    </row>
    <row r="202" spans="1:7" x14ac:dyDescent="0.25">
      <c r="A202" s="1">
        <v>-9.9999999999999005</v>
      </c>
      <c r="B202" s="1">
        <v>-10.029999999999999</v>
      </c>
      <c r="C202">
        <v>31760</v>
      </c>
      <c r="D202" s="1">
        <f>1/('NTC PAW-A2W-TSOD'!$J$12+'NTC PAW-A2W-TSOD'!$J$13*LN(C202)+'NTC PAW-A2W-TSOD'!$J$14*(LN(C202))^3)-273.15</f>
        <v>-9.8486174780412057</v>
      </c>
      <c r="E202" s="1">
        <f t="shared" si="12"/>
        <v>3.0000000000098836E-2</v>
      </c>
      <c r="F202" s="1">
        <f t="shared" si="13"/>
        <v>0.18138252195879367</v>
      </c>
      <c r="G202" s="1">
        <f t="shared" si="14"/>
        <v>-0.15138252195869484</v>
      </c>
    </row>
    <row r="203" spans="1:7" x14ac:dyDescent="0.25">
      <c r="A203" s="1">
        <v>-10.1999999999999</v>
      </c>
      <c r="B203" s="1">
        <v>-10.15</v>
      </c>
      <c r="C203" s="2">
        <v>31950</v>
      </c>
      <c r="D203" s="1">
        <f>1/('NTC PAW-A2W-TSOD'!$J$12+'NTC PAW-A2W-TSOD'!$J$13*LN(C203)+'NTC PAW-A2W-TSOD'!$J$14*(LN(C203))^3)-273.15</f>
        <v>-9.9673269554971284</v>
      </c>
      <c r="E203" s="1">
        <f t="shared" si="12"/>
        <v>-4.9999999999899458E-2</v>
      </c>
      <c r="F203" s="1">
        <f t="shared" si="13"/>
        <v>0.18267304450287192</v>
      </c>
      <c r="G203" s="1">
        <f t="shared" si="14"/>
        <v>-0.23267304450277138</v>
      </c>
    </row>
    <row r="204" spans="1:7" x14ac:dyDescent="0.25">
      <c r="A204" s="1">
        <v>-10.399999999999901</v>
      </c>
      <c r="B204" s="1">
        <v>-10.38</v>
      </c>
      <c r="C204" s="2">
        <v>32330</v>
      </c>
      <c r="D204" s="1">
        <f>1/('NTC PAW-A2W-TSOD'!$J$12+'NTC PAW-A2W-TSOD'!$J$13*LN(C204)+'NTC PAW-A2W-TSOD'!$J$14*(LN(C204))^3)-273.15</f>
        <v>-10.202391774677778</v>
      </c>
      <c r="E204" s="1">
        <f t="shared" si="12"/>
        <v>-1.9999999999900098E-2</v>
      </c>
      <c r="F204" s="1">
        <f t="shared" si="13"/>
        <v>0.17760822532222242</v>
      </c>
      <c r="G204" s="1">
        <f t="shared" si="14"/>
        <v>-0.19760822532212252</v>
      </c>
    </row>
    <row r="205" spans="1:7" x14ac:dyDescent="0.25">
      <c r="A205" s="1">
        <v>-10.5999999999999</v>
      </c>
      <c r="B205" s="1">
        <v>-10.62</v>
      </c>
      <c r="C205" s="2">
        <v>32710</v>
      </c>
      <c r="D205" s="1">
        <f>1/('NTC PAW-A2W-TSOD'!$J$12+'NTC PAW-A2W-TSOD'!$J$13*LN(C205)+'NTC PAW-A2W-TSOD'!$J$14*(LN(C205))^3)-273.15</f>
        <v>-10.434382704267023</v>
      </c>
      <c r="E205" s="1">
        <f t="shared" si="12"/>
        <v>2.000000000009905E-2</v>
      </c>
      <c r="F205" s="1">
        <f t="shared" si="13"/>
        <v>0.18561729573297647</v>
      </c>
      <c r="G205" s="1">
        <f t="shared" si="14"/>
        <v>-0.16561729573287742</v>
      </c>
    </row>
    <row r="206" spans="1:7" x14ac:dyDescent="0.25">
      <c r="A206" s="1">
        <v>-10.799999999999899</v>
      </c>
      <c r="B206" s="1">
        <v>-10.85</v>
      </c>
      <c r="C206" s="2">
        <v>33110</v>
      </c>
      <c r="D206" s="1">
        <f>1/('NTC PAW-A2W-TSOD'!$J$12+'NTC PAW-A2W-TSOD'!$J$13*LN(C206)+'NTC PAW-A2W-TSOD'!$J$14*(LN(C206))^3)-273.15</f>
        <v>-10.67534579989649</v>
      </c>
      <c r="E206" s="1">
        <f t="shared" si="12"/>
        <v>5.0000000000100187E-2</v>
      </c>
      <c r="F206" s="1">
        <f t="shared" si="13"/>
        <v>0.17465420010350918</v>
      </c>
      <c r="G206" s="1">
        <f t="shared" si="14"/>
        <v>-0.124654200103409</v>
      </c>
    </row>
    <row r="207" spans="1:7" x14ac:dyDescent="0.25">
      <c r="A207" s="1">
        <v>-10.999999999999901</v>
      </c>
      <c r="B207" s="1">
        <v>-10.97</v>
      </c>
      <c r="C207" s="2">
        <v>33300</v>
      </c>
      <c r="D207" s="1">
        <f>1/('NTC PAW-A2W-TSOD'!$J$12+'NTC PAW-A2W-TSOD'!$J$13*LN(C207)+'NTC PAW-A2W-TSOD'!$J$14*(LN(C207))^3)-273.15</f>
        <v>-10.788664040118078</v>
      </c>
      <c r="E207" s="1">
        <f t="shared" si="12"/>
        <v>-2.9999999999899885E-2</v>
      </c>
      <c r="F207" s="1">
        <f t="shared" si="13"/>
        <v>0.18133595988192219</v>
      </c>
      <c r="G207" s="1">
        <f t="shared" si="14"/>
        <v>-0.21133595988182208</v>
      </c>
    </row>
    <row r="208" spans="1:7" x14ac:dyDescent="0.25">
      <c r="A208" s="1">
        <v>-11.1999999999999</v>
      </c>
      <c r="B208" s="1">
        <v>-11.19</v>
      </c>
      <c r="C208" s="2">
        <v>33680</v>
      </c>
      <c r="D208" s="1">
        <f>1/('NTC PAW-A2W-TSOD'!$J$12+'NTC PAW-A2W-TSOD'!$J$13*LN(C208)+'NTC PAW-A2W-TSOD'!$J$14*(LN(C208))^3)-273.15</f>
        <v>-11.013144440340398</v>
      </c>
      <c r="E208" s="1">
        <f t="shared" si="12"/>
        <v>-9.9999999999003109E-3</v>
      </c>
      <c r="F208" s="1">
        <f t="shared" si="13"/>
        <v>0.17685555965960198</v>
      </c>
      <c r="G208" s="1">
        <f t="shared" si="14"/>
        <v>-0.18685555965950229</v>
      </c>
    </row>
    <row r="209" spans="1:7" x14ac:dyDescent="0.25">
      <c r="A209" s="1">
        <v>-11.3999999999998</v>
      </c>
      <c r="B209" s="1">
        <v>-11.42</v>
      </c>
      <c r="C209" s="2">
        <v>34060</v>
      </c>
      <c r="D209" s="1">
        <f>1/('NTC PAW-A2W-TSOD'!$J$12+'NTC PAW-A2W-TSOD'!$J$13*LN(C209)+'NTC PAW-A2W-TSOD'!$J$14*(LN(C209))^3)-273.15</f>
        <v>-11.23480718054833</v>
      </c>
      <c r="E209" s="1">
        <f t="shared" si="12"/>
        <v>2.0000000000200302E-2</v>
      </c>
      <c r="F209" s="1">
        <f t="shared" si="13"/>
        <v>0.18519281945166988</v>
      </c>
      <c r="G209" s="1">
        <f t="shared" si="14"/>
        <v>-0.16519281945146957</v>
      </c>
    </row>
    <row r="210" spans="1:7" x14ac:dyDescent="0.25">
      <c r="A210" s="1">
        <v>-11.5999999999999</v>
      </c>
      <c r="B210" s="1">
        <v>-11.64</v>
      </c>
      <c r="C210" s="2">
        <v>34430</v>
      </c>
      <c r="D210" s="1">
        <f>1/('NTC PAW-A2W-TSOD'!$J$12+'NTC PAW-A2W-TSOD'!$J$13*LN(C210)+'NTC PAW-A2W-TSOD'!$J$14*(LN(C210))^3)-273.15</f>
        <v>-11.447992587145848</v>
      </c>
      <c r="E210" s="1">
        <f t="shared" si="12"/>
        <v>4.00000000001004E-2</v>
      </c>
      <c r="F210" s="1">
        <f t="shared" si="13"/>
        <v>0.1920074128541529</v>
      </c>
      <c r="G210" s="1">
        <f t="shared" si="14"/>
        <v>-0.1520074128540525</v>
      </c>
    </row>
    <row r="211" spans="1:7" x14ac:dyDescent="0.25">
      <c r="A211" s="1">
        <v>-11.799999999999899</v>
      </c>
      <c r="B211" s="1">
        <v>-11.75</v>
      </c>
      <c r="C211" s="2">
        <v>34620</v>
      </c>
      <c r="D211" s="1">
        <f>1/('NTC PAW-A2W-TSOD'!$J$12+'NTC PAW-A2W-TSOD'!$J$13*LN(C211)+'NTC PAW-A2W-TSOD'!$J$14*(LN(C211))^3)-273.15</f>
        <v>-11.556471950512901</v>
      </c>
      <c r="E211" s="1">
        <f t="shared" si="12"/>
        <v>-4.9999999999899458E-2</v>
      </c>
      <c r="F211" s="1">
        <f t="shared" si="13"/>
        <v>0.19352804948709945</v>
      </c>
      <c r="G211" s="1">
        <f t="shared" si="14"/>
        <v>-0.24352804948699891</v>
      </c>
    </row>
    <row r="212" spans="1:7" x14ac:dyDescent="0.25">
      <c r="A212" s="1">
        <v>-11.999999999999901</v>
      </c>
      <c r="B212" s="1">
        <v>-11.97</v>
      </c>
      <c r="C212">
        <v>35010</v>
      </c>
      <c r="D212" s="1">
        <f>1/('NTC PAW-A2W-TSOD'!$J$12+'NTC PAW-A2W-TSOD'!$J$13*LN(C212)+'NTC PAW-A2W-TSOD'!$J$14*(LN(C212))^3)-273.15</f>
        <v>-11.777067285372027</v>
      </c>
      <c r="E212" s="1">
        <f t="shared" si="12"/>
        <v>-2.9999999999899885E-2</v>
      </c>
      <c r="F212" s="1">
        <f t="shared" si="13"/>
        <v>0.19293271462797357</v>
      </c>
      <c r="G212" s="1">
        <f t="shared" si="14"/>
        <v>-0.22293271462787345</v>
      </c>
    </row>
    <row r="213" spans="1:7" x14ac:dyDescent="0.25">
      <c r="A213" s="1">
        <v>-12.1999999999998</v>
      </c>
      <c r="B213" s="1">
        <v>-12.18</v>
      </c>
      <c r="C213" s="2">
        <v>35390</v>
      </c>
      <c r="D213" s="1">
        <f>1/('NTC PAW-A2W-TSOD'!$J$12+'NTC PAW-A2W-TSOD'!$J$13*LN(C213)+'NTC PAW-A2W-TSOD'!$J$14*(LN(C213))^3)-273.15</f>
        <v>-11.989376818789083</v>
      </c>
      <c r="E213" s="1">
        <f t="shared" si="12"/>
        <v>-1.9999999999800622E-2</v>
      </c>
      <c r="F213" s="1">
        <f t="shared" si="13"/>
        <v>0.19062318121091693</v>
      </c>
      <c r="G213" s="1">
        <f t="shared" si="14"/>
        <v>-0.21062318121071755</v>
      </c>
    </row>
    <row r="214" spans="1:7" x14ac:dyDescent="0.25">
      <c r="A214" s="1">
        <v>-12.3999999999998</v>
      </c>
      <c r="B214" s="1">
        <v>-12.39</v>
      </c>
      <c r="C214" s="2">
        <v>35770</v>
      </c>
      <c r="D214" s="1">
        <f>1/('NTC PAW-A2W-TSOD'!$J$12+'NTC PAW-A2W-TSOD'!$J$13*LN(C214)+'NTC PAW-A2W-TSOD'!$J$14*(LN(C214))^3)-273.15</f>
        <v>-12.199150423563424</v>
      </c>
      <c r="E214" s="1">
        <f t="shared" si="12"/>
        <v>-9.9999999997990585E-3</v>
      </c>
      <c r="F214" s="1">
        <f t="shared" si="13"/>
        <v>0.19084957643657674</v>
      </c>
      <c r="G214" s="1">
        <f t="shared" si="14"/>
        <v>-0.2008495764363758</v>
      </c>
    </row>
    <row r="215" spans="1:7" x14ac:dyDescent="0.25">
      <c r="A215" s="1">
        <v>-12.5999999999999</v>
      </c>
      <c r="B215" s="1">
        <v>-12.6</v>
      </c>
      <c r="C215" s="2">
        <v>36150</v>
      </c>
      <c r="D215" s="1">
        <f>1/('NTC PAW-A2W-TSOD'!$J$12+'NTC PAW-A2W-TSOD'!$J$13*LN(C215)+'NTC PAW-A2W-TSOD'!$J$14*(LN(C215))^3)-273.15</f>
        <v>-12.406445054492451</v>
      </c>
      <c r="E215" s="1">
        <f t="shared" si="12"/>
        <v>9.9475983006414026E-14</v>
      </c>
      <c r="F215" s="1">
        <f t="shared" si="13"/>
        <v>0.19355494550754848</v>
      </c>
      <c r="G215" s="1">
        <f t="shared" si="14"/>
        <v>-0.19355494550744901</v>
      </c>
    </row>
    <row r="216" spans="1:7" x14ac:dyDescent="0.25">
      <c r="A216" s="1">
        <v>-12.7999999999998</v>
      </c>
      <c r="B216" s="1">
        <v>-12.81</v>
      </c>
      <c r="C216" s="2">
        <v>36540</v>
      </c>
      <c r="D216" s="1">
        <f>1/('NTC PAW-A2W-TSOD'!$J$12+'NTC PAW-A2W-TSOD'!$J$13*LN(C216)+'NTC PAW-A2W-TSOD'!$J$14*(LN(C216))^3)-273.15</f>
        <v>-12.616674895820779</v>
      </c>
      <c r="E216" s="1">
        <f t="shared" si="12"/>
        <v>1.0000000000200515E-2</v>
      </c>
      <c r="F216" s="1">
        <f t="shared" si="13"/>
        <v>0.19332510417922144</v>
      </c>
      <c r="G216" s="1">
        <f t="shared" si="14"/>
        <v>-0.18332510417902093</v>
      </c>
    </row>
    <row r="217" spans="1:7" x14ac:dyDescent="0.25">
      <c r="A217" s="1">
        <v>-12.999999999999799</v>
      </c>
      <c r="B217" s="1">
        <v>-13.02</v>
      </c>
      <c r="C217">
        <v>36910</v>
      </c>
      <c r="D217" s="1">
        <f>1/('NTC PAW-A2W-TSOD'!$J$12+'NTC PAW-A2W-TSOD'!$J$13*LN(C217)+'NTC PAW-A2W-TSOD'!$J$14*(LN(C217))^3)-273.15</f>
        <v>-12.813815975537921</v>
      </c>
      <c r="E217" s="1">
        <f t="shared" si="12"/>
        <v>2.0000000000200302E-2</v>
      </c>
      <c r="F217" s="1">
        <f t="shared" si="13"/>
        <v>0.20618402446207895</v>
      </c>
      <c r="G217" s="1">
        <f t="shared" si="14"/>
        <v>-0.18618402446187865</v>
      </c>
    </row>
    <row r="218" spans="1:7" x14ac:dyDescent="0.25">
      <c r="A218" s="1">
        <v>-13.1999999999998</v>
      </c>
      <c r="B218" s="1">
        <v>-13.22</v>
      </c>
      <c r="C218" s="2">
        <v>37300</v>
      </c>
      <c r="D218" s="1">
        <f>1/('NTC PAW-A2W-TSOD'!$J$12+'NTC PAW-A2W-TSOD'!$J$13*LN(C218)+'NTC PAW-A2W-TSOD'!$J$14*(LN(C218))^3)-273.15</f>
        <v>-13.019234241296544</v>
      </c>
      <c r="E218" s="1">
        <f t="shared" si="12"/>
        <v>2.0000000000200302E-2</v>
      </c>
      <c r="F218" s="1">
        <f t="shared" si="13"/>
        <v>0.20076575870345614</v>
      </c>
      <c r="G218" s="1">
        <f t="shared" si="14"/>
        <v>-0.18076575870325584</v>
      </c>
    </row>
    <row r="219" spans="1:7" x14ac:dyDescent="0.25">
      <c r="A219" s="1">
        <v>-13.3999999999998</v>
      </c>
      <c r="B219" s="1">
        <v>-13.42</v>
      </c>
      <c r="C219" s="2">
        <v>37700</v>
      </c>
      <c r="D219" s="1">
        <f>1/('NTC PAW-A2W-TSOD'!$J$12+'NTC PAW-A2W-TSOD'!$J$13*LN(C219)+'NTC PAW-A2W-TSOD'!$J$14*(LN(C219))^3)-273.15</f>
        <v>-13.227438800116829</v>
      </c>
      <c r="E219" s="1">
        <f t="shared" si="12"/>
        <v>2.0000000000200302E-2</v>
      </c>
      <c r="F219" s="1">
        <f t="shared" si="13"/>
        <v>0.19256119988317089</v>
      </c>
      <c r="G219" s="1">
        <f t="shared" si="14"/>
        <v>-0.17256119988297058</v>
      </c>
    </row>
    <row r="220" spans="1:7" x14ac:dyDescent="0.25">
      <c r="A220" s="1">
        <v>-13.599999999999801</v>
      </c>
      <c r="B220" s="1">
        <v>-13.62</v>
      </c>
      <c r="C220" s="2">
        <v>38080</v>
      </c>
      <c r="D220" s="1">
        <f>1/('NTC PAW-A2W-TSOD'!$J$12+'NTC PAW-A2W-TSOD'!$J$13*LN(C220)+'NTC PAW-A2W-TSOD'!$J$14*(LN(C220))^3)-273.15</f>
        <v>-13.422957063484546</v>
      </c>
      <c r="E220" s="1">
        <f t="shared" si="12"/>
        <v>2.0000000000198526E-2</v>
      </c>
      <c r="F220" s="1">
        <f t="shared" si="13"/>
        <v>0.19704293651545335</v>
      </c>
      <c r="G220" s="1">
        <f t="shared" si="14"/>
        <v>-0.17704293651525482</v>
      </c>
    </row>
    <row r="221" spans="1:7" x14ac:dyDescent="0.25">
      <c r="A221" s="1">
        <v>-13.7999999999998</v>
      </c>
      <c r="B221" s="1">
        <v>-13.81</v>
      </c>
      <c r="C221" s="2">
        <v>38470</v>
      </c>
      <c r="D221" s="1">
        <f>1/('NTC PAW-A2W-TSOD'!$J$12+'NTC PAW-A2W-TSOD'!$J$13*LN(C221)+'NTC PAW-A2W-TSOD'!$J$14*(LN(C221))^3)-273.15</f>
        <v>-13.621364453722322</v>
      </c>
      <c r="E221" s="1">
        <f t="shared" si="12"/>
        <v>1.0000000000200515E-2</v>
      </c>
      <c r="F221" s="1">
        <f t="shared" si="13"/>
        <v>0.18863554627767876</v>
      </c>
      <c r="G221" s="1">
        <f t="shared" si="14"/>
        <v>-0.17863554627747824</v>
      </c>
    </row>
    <row r="222" spans="1:7" x14ac:dyDescent="0.25">
      <c r="A222" s="1">
        <v>-13.999999999999799</v>
      </c>
      <c r="B222" s="1">
        <v>-14.01</v>
      </c>
      <c r="C222">
        <v>38850</v>
      </c>
      <c r="D222" s="1">
        <f>1/('NTC PAW-A2W-TSOD'!$J$12+'NTC PAW-A2W-TSOD'!$J$13*LN(C222)+'NTC PAW-A2W-TSOD'!$J$14*(LN(C222))^3)-273.15</f>
        <v>-13.812532546886814</v>
      </c>
      <c r="E222" s="1">
        <f t="shared" si="12"/>
        <v>1.0000000000200515E-2</v>
      </c>
      <c r="F222" s="1">
        <f t="shared" si="13"/>
        <v>0.1974674531131857</v>
      </c>
      <c r="G222" s="1">
        <f t="shared" si="14"/>
        <v>-0.18746745311298518</v>
      </c>
    </row>
    <row r="223" spans="1:7" x14ac:dyDescent="0.25">
      <c r="A223" s="1">
        <v>-14.1999999999998</v>
      </c>
      <c r="B223" s="1">
        <v>-14.2</v>
      </c>
      <c r="C223" s="2">
        <v>39240</v>
      </c>
      <c r="D223" s="1">
        <f>1/('NTC PAW-A2W-TSOD'!$J$12+'NTC PAW-A2W-TSOD'!$J$13*LN(C223)+'NTC PAW-A2W-TSOD'!$J$14*(LN(C223))^3)-273.15</f>
        <v>-14.006569288697392</v>
      </c>
      <c r="E223" s="1">
        <f t="shared" si="12"/>
        <v>1.9895196601282805E-13</v>
      </c>
      <c r="F223" s="1">
        <f t="shared" si="13"/>
        <v>0.19343071130260725</v>
      </c>
      <c r="G223" s="1">
        <f t="shared" si="14"/>
        <v>-0.1934307113024083</v>
      </c>
    </row>
    <row r="224" spans="1:7" x14ac:dyDescent="0.25">
      <c r="A224" s="1">
        <v>-14.3999999999998</v>
      </c>
      <c r="B224" s="1">
        <v>-14.39</v>
      </c>
      <c r="C224" s="2">
        <v>39620</v>
      </c>
      <c r="D224" s="1">
        <f>1/('NTC PAW-A2W-TSOD'!$J$12+'NTC PAW-A2W-TSOD'!$J$13*LN(C224)+'NTC PAW-A2W-TSOD'!$J$14*(LN(C224))^3)-273.15</f>
        <v>-14.193567591192277</v>
      </c>
      <c r="E224" s="1">
        <f t="shared" si="12"/>
        <v>-9.9999999997990585E-3</v>
      </c>
      <c r="F224" s="1">
        <f t="shared" si="13"/>
        <v>0.19643240880772339</v>
      </c>
      <c r="G224" s="1">
        <f t="shared" si="14"/>
        <v>-0.20643240880752245</v>
      </c>
    </row>
    <row r="225" spans="1:7" x14ac:dyDescent="0.25">
      <c r="A225" s="1">
        <v>-14.599999999999801</v>
      </c>
      <c r="B225" s="1">
        <v>-14.58</v>
      </c>
      <c r="C225" s="2">
        <v>40010</v>
      </c>
      <c r="D225" s="1">
        <f>1/('NTC PAW-A2W-TSOD'!$J$12+'NTC PAW-A2W-TSOD'!$J$13*LN(C225)+'NTC PAW-A2W-TSOD'!$J$14*(LN(C225))^3)-273.15</f>
        <v>-14.383413155276628</v>
      </c>
      <c r="E225" s="1">
        <f t="shared" si="12"/>
        <v>-1.9999999999800622E-2</v>
      </c>
      <c r="F225" s="1">
        <f t="shared" si="13"/>
        <v>0.19658684472337207</v>
      </c>
      <c r="G225" s="1">
        <f t="shared" si="14"/>
        <v>-0.21658684472317269</v>
      </c>
    </row>
    <row r="226" spans="1:7" x14ac:dyDescent="0.25">
      <c r="A226" s="1">
        <v>-14.7999999999998</v>
      </c>
      <c r="B226" s="1">
        <v>-14.76</v>
      </c>
      <c r="C226" s="2">
        <v>40380</v>
      </c>
      <c r="D226" s="1">
        <f>1/('NTC PAW-A2W-TSOD'!$J$12+'NTC PAW-A2W-TSOD'!$J$13*LN(C226)+'NTC PAW-A2W-TSOD'!$J$14*(LN(C226))^3)-273.15</f>
        <v>-14.561620203940151</v>
      </c>
      <c r="E226" s="1">
        <f t="shared" si="12"/>
        <v>-3.9999999999800195E-2</v>
      </c>
      <c r="F226" s="1">
        <f t="shared" si="13"/>
        <v>0.19837979605984835</v>
      </c>
      <c r="G226" s="1">
        <f t="shared" si="14"/>
        <v>-0.23837979605964854</v>
      </c>
    </row>
    <row r="227" spans="1:7" x14ac:dyDescent="0.25">
      <c r="A227" s="1">
        <v>-14.999999999999799</v>
      </c>
      <c r="B227" s="1">
        <v>-15.03</v>
      </c>
      <c r="C227" s="2">
        <v>40980</v>
      </c>
      <c r="D227" s="1">
        <f>1/('NTC PAW-A2W-TSOD'!$J$12+'NTC PAW-A2W-TSOD'!$J$13*LN(C227)+'NTC PAW-A2W-TSOD'!$J$14*(LN(C227))^3)-273.15</f>
        <v>-14.846759375764975</v>
      </c>
      <c r="E227" s="1">
        <f t="shared" si="12"/>
        <v>3.0000000000200089E-2</v>
      </c>
      <c r="F227" s="1">
        <f t="shared" si="13"/>
        <v>0.18324062423502419</v>
      </c>
      <c r="G227" s="1">
        <f t="shared" si="14"/>
        <v>-0.1532406242348241</v>
      </c>
    </row>
    <row r="228" spans="1:7" x14ac:dyDescent="0.25">
      <c r="A228" s="1">
        <v>-15.1999999999998</v>
      </c>
      <c r="B228" s="1">
        <v>-15.22</v>
      </c>
      <c r="C228" s="2">
        <v>41370</v>
      </c>
      <c r="D228" s="1">
        <f>1/('NTC PAW-A2W-TSOD'!$J$12+'NTC PAW-A2W-TSOD'!$J$13*LN(C228)+'NTC PAW-A2W-TSOD'!$J$14*(LN(C228))^3)-273.15</f>
        <v>-15.029608605375415</v>
      </c>
      <c r="E228" s="1">
        <f t="shared" si="12"/>
        <v>2.0000000000200302E-2</v>
      </c>
      <c r="F228" s="1">
        <f t="shared" si="13"/>
        <v>0.19039139462458543</v>
      </c>
      <c r="G228" s="1">
        <f t="shared" si="14"/>
        <v>-0.17039139462438513</v>
      </c>
    </row>
    <row r="229" spans="1:7" x14ac:dyDescent="0.25">
      <c r="A229" s="1">
        <v>-15.3999999999998</v>
      </c>
      <c r="B229" s="1">
        <v>-15.39</v>
      </c>
      <c r="C229" s="2">
        <v>41750</v>
      </c>
      <c r="D229" s="1">
        <f>1/('NTC PAW-A2W-TSOD'!$J$12+'NTC PAW-A2W-TSOD'!$J$13*LN(C229)+'NTC PAW-A2W-TSOD'!$J$14*(LN(C229))^3)-273.15</f>
        <v>-15.205925535186282</v>
      </c>
      <c r="E229" s="1">
        <f t="shared" si="12"/>
        <v>-9.9999999997990585E-3</v>
      </c>
      <c r="F229" s="1">
        <f t="shared" si="13"/>
        <v>0.18407446481371892</v>
      </c>
      <c r="G229" s="1">
        <f t="shared" si="14"/>
        <v>-0.19407446481351798</v>
      </c>
    </row>
    <row r="230" spans="1:7" x14ac:dyDescent="0.25">
      <c r="A230" s="1">
        <v>-15.599999999999801</v>
      </c>
      <c r="B230" s="1">
        <v>-15.57</v>
      </c>
      <c r="C230" s="2">
        <v>42140</v>
      </c>
      <c r="D230" s="1">
        <f>1/('NTC PAW-A2W-TSOD'!$J$12+'NTC PAW-A2W-TSOD'!$J$13*LN(C230)+'NTC PAW-A2W-TSOD'!$J$14*(LN(C230))^3)-273.15</f>
        <v>-15.385027055462331</v>
      </c>
      <c r="E230" s="1">
        <f t="shared" si="12"/>
        <v>-2.9999999999800409E-2</v>
      </c>
      <c r="F230" s="1">
        <f t="shared" si="13"/>
        <v>0.18497294453766955</v>
      </c>
      <c r="G230" s="1">
        <f t="shared" si="14"/>
        <v>-0.21497294453746996</v>
      </c>
    </row>
    <row r="231" spans="1:7" x14ac:dyDescent="0.25">
      <c r="A231" s="1">
        <v>-15.7999999999998</v>
      </c>
      <c r="B231" s="1">
        <v>-15.83</v>
      </c>
      <c r="C231" s="2">
        <v>42710</v>
      </c>
      <c r="D231" s="1">
        <f>1/('NTC PAW-A2W-TSOD'!$J$12+'NTC PAW-A2W-TSOD'!$J$13*LN(C231)+'NTC PAW-A2W-TSOD'!$J$14*(LN(C231))^3)-273.15</f>
        <v>-15.643485585103519</v>
      </c>
      <c r="E231" s="1">
        <f t="shared" si="12"/>
        <v>3.0000000000200089E-2</v>
      </c>
      <c r="F231" s="1">
        <f t="shared" si="13"/>
        <v>0.18651441489648057</v>
      </c>
      <c r="G231" s="1">
        <f t="shared" si="14"/>
        <v>-0.15651441489628048</v>
      </c>
    </row>
    <row r="232" spans="1:7" x14ac:dyDescent="0.25">
      <c r="A232" s="1">
        <v>-15.999999999999799</v>
      </c>
      <c r="B232" s="1">
        <v>-16</v>
      </c>
      <c r="C232">
        <v>43090</v>
      </c>
      <c r="D232" s="1">
        <f>1/('NTC PAW-A2W-TSOD'!$J$12+'NTC PAW-A2W-TSOD'!$J$13*LN(C232)+'NTC PAW-A2W-TSOD'!$J$14*(LN(C232))^3)-273.15</f>
        <v>-15.81365898905517</v>
      </c>
      <c r="E232" s="1">
        <f t="shared" si="12"/>
        <v>2.007283228522283E-13</v>
      </c>
      <c r="F232" s="1">
        <f t="shared" si="13"/>
        <v>0.18634101094482958</v>
      </c>
      <c r="G232" s="1">
        <f t="shared" si="14"/>
        <v>-0.18634101094462885</v>
      </c>
    </row>
    <row r="233" spans="1:7" x14ac:dyDescent="0.25">
      <c r="A233" s="1">
        <v>-16.1999999999998</v>
      </c>
      <c r="B233" s="1">
        <v>-16.18</v>
      </c>
      <c r="C233" s="2">
        <v>43470</v>
      </c>
      <c r="D233" s="1">
        <f>1/('NTC PAW-A2W-TSOD'!$J$12+'NTC PAW-A2W-TSOD'!$J$13*LN(C233)+'NTC PAW-A2W-TSOD'!$J$14*(LN(C233))^3)-273.15</f>
        <v>-15.98216368926478</v>
      </c>
      <c r="E233" s="1">
        <f t="shared" si="12"/>
        <v>-1.9999999999800622E-2</v>
      </c>
      <c r="F233" s="1">
        <f t="shared" si="13"/>
        <v>0.19783631073521946</v>
      </c>
      <c r="G233" s="1">
        <f t="shared" si="14"/>
        <v>-0.21783631073502008</v>
      </c>
    </row>
    <row r="234" spans="1:7" x14ac:dyDescent="0.25">
      <c r="A234" s="1">
        <v>-16.3999999999998</v>
      </c>
      <c r="B234" s="1">
        <v>-16.43</v>
      </c>
      <c r="C234" s="2">
        <v>44050</v>
      </c>
      <c r="D234" s="1">
        <f>1/('NTC PAW-A2W-TSOD'!$J$12+'NTC PAW-A2W-TSOD'!$J$13*LN(C234)+'NTC PAW-A2W-TSOD'!$J$14*(LN(C234))^3)-273.15</f>
        <v>-16.236207501166348</v>
      </c>
      <c r="E234" s="1">
        <f t="shared" si="12"/>
        <v>3.0000000000200089E-2</v>
      </c>
      <c r="F234" s="1">
        <f t="shared" si="13"/>
        <v>0.1937924988336519</v>
      </c>
      <c r="G234" s="1">
        <f t="shared" si="14"/>
        <v>-0.16379249883345182</v>
      </c>
    </row>
    <row r="235" spans="1:7" x14ac:dyDescent="0.25">
      <c r="A235" s="1">
        <v>-16.599999999999799</v>
      </c>
      <c r="B235" s="1">
        <v>-16.59</v>
      </c>
      <c r="C235" s="2">
        <v>44420</v>
      </c>
      <c r="D235" s="1">
        <f>1/('NTC PAW-A2W-TSOD'!$J$12+'NTC PAW-A2W-TSOD'!$J$13*LN(C235)+'NTC PAW-A2W-TSOD'!$J$14*(LN(C235))^3)-273.15</f>
        <v>-16.396325236328607</v>
      </c>
      <c r="E235" s="1">
        <f t="shared" si="12"/>
        <v>-9.9999999997990585E-3</v>
      </c>
      <c r="F235" s="1">
        <f t="shared" si="13"/>
        <v>0.19367476367139247</v>
      </c>
      <c r="G235" s="1">
        <f t="shared" si="14"/>
        <v>-0.20367476367119153</v>
      </c>
    </row>
    <row r="236" spans="1:7" x14ac:dyDescent="0.25">
      <c r="A236" s="1">
        <v>-16.799999999999802</v>
      </c>
      <c r="B236" s="1">
        <v>-16.760000000000002</v>
      </c>
      <c r="C236" s="2">
        <v>44810</v>
      </c>
      <c r="D236" s="1">
        <f>1/('NTC PAW-A2W-TSOD'!$J$12+'NTC PAW-A2W-TSOD'!$J$13*LN(C236)+'NTC PAW-A2W-TSOD'!$J$14*(LN(C236))^3)-273.15</f>
        <v>-16.563493003666281</v>
      </c>
      <c r="E236" s="1">
        <f t="shared" si="12"/>
        <v>-3.9999999999800195E-2</v>
      </c>
      <c r="F236" s="1">
        <f t="shared" si="13"/>
        <v>0.19650699633372071</v>
      </c>
      <c r="G236" s="1">
        <f t="shared" si="14"/>
        <v>-0.2365069963335209</v>
      </c>
    </row>
    <row r="237" spans="1:7" x14ac:dyDescent="0.25">
      <c r="A237" s="1">
        <v>-16.999999999999801</v>
      </c>
      <c r="B237" s="1">
        <v>-17</v>
      </c>
      <c r="C237" s="2">
        <v>45390</v>
      </c>
      <c r="D237" s="1">
        <f>1/('NTC PAW-A2W-TSOD'!$J$12+'NTC PAW-A2W-TSOD'!$J$13*LN(C237)+'NTC PAW-A2W-TSOD'!$J$14*(LN(C237))^3)-273.15</f>
        <v>-16.809119037437199</v>
      </c>
      <c r="E237" s="1">
        <f t="shared" si="12"/>
        <v>1.9895196601282805E-13</v>
      </c>
      <c r="F237" s="1">
        <f t="shared" si="13"/>
        <v>0.19088096256280096</v>
      </c>
      <c r="G237" s="1">
        <f t="shared" si="14"/>
        <v>-0.19088096256260201</v>
      </c>
    </row>
    <row r="238" spans="1:7" x14ac:dyDescent="0.25">
      <c r="A238" s="1">
        <v>-17.1999999999998</v>
      </c>
      <c r="B238" s="1">
        <v>-17.16</v>
      </c>
      <c r="C238" s="2">
        <v>45770</v>
      </c>
      <c r="D238" s="1">
        <f>1/('NTC PAW-A2W-TSOD'!$J$12+'NTC PAW-A2W-TSOD'!$J$13*LN(C238)+'NTC PAW-A2W-TSOD'!$J$14*(LN(C238))^3)-273.15</f>
        <v>-16.968153138317348</v>
      </c>
      <c r="E238" s="1">
        <f t="shared" si="12"/>
        <v>-3.9999999999800195E-2</v>
      </c>
      <c r="F238" s="1">
        <f t="shared" si="13"/>
        <v>0.1918468616826523</v>
      </c>
      <c r="G238" s="1">
        <f t="shared" si="14"/>
        <v>-0.2318468616824525</v>
      </c>
    </row>
    <row r="239" spans="1:7" x14ac:dyDescent="0.25">
      <c r="A239" s="1">
        <v>-17.3999999999998</v>
      </c>
      <c r="B239" s="1">
        <v>-17.399999999999999</v>
      </c>
      <c r="C239" s="2">
        <v>46340</v>
      </c>
      <c r="D239" s="1">
        <f>1/('NTC PAW-A2W-TSOD'!$J$12+'NTC PAW-A2W-TSOD'!$J$13*LN(C239)+'NTC PAW-A2W-TSOD'!$J$14*(LN(C239))^3)-273.15</f>
        <v>-17.203959946357884</v>
      </c>
      <c r="E239" s="1">
        <f t="shared" si="12"/>
        <v>1.9895196601282805E-13</v>
      </c>
      <c r="F239" s="1">
        <f t="shared" si="13"/>
        <v>0.19604005364211474</v>
      </c>
      <c r="G239" s="1">
        <f t="shared" si="14"/>
        <v>-0.19604005364191579</v>
      </c>
    </row>
    <row r="240" spans="1:7" x14ac:dyDescent="0.25">
      <c r="A240" s="1">
        <v>-17.599999999999799</v>
      </c>
      <c r="B240" s="1">
        <v>-17.64</v>
      </c>
      <c r="C240" s="2">
        <v>46910</v>
      </c>
      <c r="D240" s="1">
        <f>1/('NTC PAW-A2W-TSOD'!$J$12+'NTC PAW-A2W-TSOD'!$J$13*LN(C240)+'NTC PAW-A2W-TSOD'!$J$14*(LN(C240))^3)-273.15</f>
        <v>-17.436549484372335</v>
      </c>
      <c r="E240" s="1">
        <f t="shared" si="12"/>
        <v>4.0000000000201652E-2</v>
      </c>
      <c r="F240" s="1">
        <f t="shared" si="13"/>
        <v>0.20345051562766514</v>
      </c>
      <c r="G240" s="1">
        <f t="shared" si="14"/>
        <v>-0.16345051562746349</v>
      </c>
    </row>
    <row r="241" spans="1:7" x14ac:dyDescent="0.25">
      <c r="A241" s="1">
        <v>-17.799999999999802</v>
      </c>
      <c r="B241" s="1">
        <v>-17.79</v>
      </c>
      <c r="C241" s="2">
        <v>47290</v>
      </c>
      <c r="D241" s="1">
        <f>1/('NTC PAW-A2W-TSOD'!$J$12+'NTC PAW-A2W-TSOD'!$J$13*LN(C241)+'NTC PAW-A2W-TSOD'!$J$14*(LN(C241))^3)-273.15</f>
        <v>-17.589862662410383</v>
      </c>
      <c r="E241" s="1">
        <f t="shared" si="12"/>
        <v>-9.9999999998026112E-3</v>
      </c>
      <c r="F241" s="1">
        <f t="shared" si="13"/>
        <v>0.20013733758961649</v>
      </c>
      <c r="G241" s="1">
        <f t="shared" si="14"/>
        <v>-0.2101373375894191</v>
      </c>
    </row>
    <row r="242" spans="1:7" x14ac:dyDescent="0.25">
      <c r="A242" s="1">
        <v>-17.999999999999801</v>
      </c>
      <c r="B242" s="1">
        <v>-18.02</v>
      </c>
      <c r="C242">
        <v>47860</v>
      </c>
      <c r="D242" s="1">
        <f>1/('NTC PAW-A2W-TSOD'!$J$12+'NTC PAW-A2W-TSOD'!$J$13*LN(C242)+'NTC PAW-A2W-TSOD'!$J$14*(LN(C242))^3)-273.15</f>
        <v>-17.817271842771646</v>
      </c>
      <c r="E242" s="1">
        <f t="shared" si="12"/>
        <v>2.0000000000198526E-2</v>
      </c>
      <c r="F242" s="1">
        <f t="shared" si="13"/>
        <v>0.20272815722835347</v>
      </c>
      <c r="G242" s="1">
        <f t="shared" si="14"/>
        <v>-0.18272815722815494</v>
      </c>
    </row>
    <row r="243" spans="1:7" x14ac:dyDescent="0.25">
      <c r="A243" s="1">
        <v>-18.1999999999998</v>
      </c>
      <c r="B243" s="1">
        <v>-18.18</v>
      </c>
      <c r="C243" s="2">
        <v>48260</v>
      </c>
      <c r="D243" s="1">
        <f>1/('NTC PAW-A2W-TSOD'!$J$12+'NTC PAW-A2W-TSOD'!$J$13*LN(C243)+'NTC PAW-A2W-TSOD'!$J$14*(LN(C243))^3)-273.15</f>
        <v>-17.975058987399223</v>
      </c>
      <c r="E243" s="1">
        <f t="shared" si="12"/>
        <v>-1.9999999999800622E-2</v>
      </c>
      <c r="F243" s="1">
        <f t="shared" si="13"/>
        <v>0.20494101260077713</v>
      </c>
      <c r="G243" s="1">
        <f t="shared" si="14"/>
        <v>-0.22494101260057775</v>
      </c>
    </row>
    <row r="244" spans="1:7" x14ac:dyDescent="0.25">
      <c r="A244" s="1">
        <v>-18.3999999999998</v>
      </c>
      <c r="B244" s="1">
        <v>-18.399999999999999</v>
      </c>
      <c r="C244" s="2">
        <v>48830</v>
      </c>
      <c r="D244" s="1">
        <f>1/('NTC PAW-A2W-TSOD'!$J$12+'NTC PAW-A2W-TSOD'!$J$13*LN(C244)+'NTC PAW-A2W-TSOD'!$J$14*(LN(C244))^3)-273.15</f>
        <v>-18.197400649347287</v>
      </c>
      <c r="E244" s="1">
        <f t="shared" si="12"/>
        <v>1.9895196601282805E-13</v>
      </c>
      <c r="F244" s="1">
        <f t="shared" si="13"/>
        <v>0.20259935065271151</v>
      </c>
      <c r="G244" s="1">
        <f t="shared" si="14"/>
        <v>-0.20259935065251256</v>
      </c>
    </row>
    <row r="245" spans="1:7" x14ac:dyDescent="0.25">
      <c r="A245" s="1">
        <v>-18.599999999999799</v>
      </c>
      <c r="B245" s="1">
        <v>-18.62</v>
      </c>
      <c r="C245" s="2">
        <v>49400</v>
      </c>
      <c r="D245" s="1">
        <f>1/('NTC PAW-A2W-TSOD'!$J$12+'NTC PAW-A2W-TSOD'!$J$13*LN(C245)+'NTC PAW-A2W-TSOD'!$J$14*(LN(C245))^3)-273.15</f>
        <v>-18.416863554822328</v>
      </c>
      <c r="E245" s="1">
        <f t="shared" si="12"/>
        <v>2.0000000000202078E-2</v>
      </c>
      <c r="F245" s="1">
        <f t="shared" si="13"/>
        <v>0.20313644517767315</v>
      </c>
      <c r="G245" s="1">
        <f t="shared" si="14"/>
        <v>-0.18313644517747107</v>
      </c>
    </row>
    <row r="246" spans="1:7" x14ac:dyDescent="0.25">
      <c r="A246" s="1">
        <v>-18.799999999999802</v>
      </c>
      <c r="B246" s="1">
        <v>-18.77</v>
      </c>
      <c r="C246" s="2">
        <v>49790</v>
      </c>
      <c r="D246" s="1">
        <f>1/('NTC PAW-A2W-TSOD'!$J$12+'NTC PAW-A2W-TSOD'!$J$13*LN(C246)+'NTC PAW-A2W-TSOD'!$J$14*(LN(C246))^3)-273.15</f>
        <v>-18.565399945509512</v>
      </c>
      <c r="E246" s="1">
        <f t="shared" si="12"/>
        <v>-2.9999999999802185E-2</v>
      </c>
      <c r="F246" s="1">
        <f t="shared" si="13"/>
        <v>0.20460005449048779</v>
      </c>
      <c r="G246" s="1">
        <f t="shared" si="14"/>
        <v>-0.23460005449028998</v>
      </c>
    </row>
    <row r="247" spans="1:7" x14ac:dyDescent="0.25">
      <c r="A247" s="1">
        <v>-18.999999999999801</v>
      </c>
      <c r="B247" s="1">
        <v>-18.989999999999998</v>
      </c>
      <c r="C247">
        <v>50360</v>
      </c>
      <c r="D247" s="1">
        <f>1/('NTC PAW-A2W-TSOD'!$J$12+'NTC PAW-A2W-TSOD'!$J$13*LN(C247)+'NTC PAW-A2W-TSOD'!$J$14*(LN(C247))^3)-273.15</f>
        <v>-18.780171559597392</v>
      </c>
      <c r="E247" s="1">
        <f t="shared" si="12"/>
        <v>-9.9999999998026112E-3</v>
      </c>
      <c r="F247" s="1">
        <f t="shared" si="13"/>
        <v>0.20982844040260673</v>
      </c>
      <c r="G247" s="1">
        <f t="shared" si="14"/>
        <v>-0.21982844040240934</v>
      </c>
    </row>
    <row r="248" spans="1:7" x14ac:dyDescent="0.25">
      <c r="A248" s="1">
        <v>-19.1999999999998</v>
      </c>
      <c r="B248" s="1">
        <v>-19.2</v>
      </c>
      <c r="C248" s="2">
        <v>50950</v>
      </c>
      <c r="D248" s="1">
        <f>1/('NTC PAW-A2W-TSOD'!$J$12+'NTC PAW-A2W-TSOD'!$J$13*LN(C248)+'NTC PAW-A2W-TSOD'!$J$14*(LN(C248))^3)-273.15</f>
        <v>-18.999640064401973</v>
      </c>
      <c r="E248" s="1">
        <f t="shared" si="12"/>
        <v>1.9895196601282805E-13</v>
      </c>
      <c r="F248" s="1">
        <f t="shared" si="13"/>
        <v>0.20035993559802634</v>
      </c>
      <c r="G248" s="1">
        <f t="shared" si="14"/>
        <v>-0.20035993559782739</v>
      </c>
    </row>
    <row r="249" spans="1:7" x14ac:dyDescent="0.25">
      <c r="A249" s="1">
        <v>-19.3999999999998</v>
      </c>
      <c r="B249" s="1">
        <v>-19.41</v>
      </c>
      <c r="C249" s="2">
        <v>51510</v>
      </c>
      <c r="D249" s="1">
        <f>1/('NTC PAW-A2W-TSOD'!$J$12+'NTC PAW-A2W-TSOD'!$J$13*LN(C249)+'NTC PAW-A2W-TSOD'!$J$14*(LN(C249))^3)-273.15</f>
        <v>-19.205341227710363</v>
      </c>
      <c r="E249" s="1">
        <f t="shared" si="12"/>
        <v>1.0000000000200515E-2</v>
      </c>
      <c r="F249" s="1">
        <f t="shared" si="13"/>
        <v>0.20465877228963691</v>
      </c>
      <c r="G249" s="1">
        <f t="shared" si="14"/>
        <v>-0.1946587722894364</v>
      </c>
    </row>
    <row r="250" spans="1:7" x14ac:dyDescent="0.25">
      <c r="A250" s="1">
        <v>-19.599999999999799</v>
      </c>
      <c r="B250" s="1">
        <v>-19.62</v>
      </c>
      <c r="C250" s="2">
        <v>52090</v>
      </c>
      <c r="D250" s="1">
        <f>1/('NTC PAW-A2W-TSOD'!$J$12+'NTC PAW-A2W-TSOD'!$J$13*LN(C250)+'NTC PAW-A2W-TSOD'!$J$14*(LN(C250))^3)-273.15</f>
        <v>-19.415774529032689</v>
      </c>
      <c r="E250" s="1">
        <f t="shared" si="12"/>
        <v>2.0000000000202078E-2</v>
      </c>
      <c r="F250" s="1">
        <f t="shared" si="13"/>
        <v>0.20422547096731236</v>
      </c>
      <c r="G250" s="1">
        <f t="shared" si="14"/>
        <v>-0.18422547096711028</v>
      </c>
    </row>
    <row r="251" spans="1:7" x14ac:dyDescent="0.25">
      <c r="A251" s="1">
        <v>-19.799999999999802</v>
      </c>
      <c r="B251" s="1">
        <v>-19.829999999999998</v>
      </c>
      <c r="C251" s="2">
        <v>52660</v>
      </c>
      <c r="D251" s="1">
        <f>1/('NTC PAW-A2W-TSOD'!$J$12+'NTC PAW-A2W-TSOD'!$J$13*LN(C251)+'NTC PAW-A2W-TSOD'!$J$14*(LN(C251))^3)-273.15</f>
        <v>-19.620047725038546</v>
      </c>
      <c r="E251" s="1">
        <f t="shared" si="12"/>
        <v>3.0000000000196536E-2</v>
      </c>
      <c r="F251" s="1">
        <f t="shared" si="13"/>
        <v>0.20995227496145219</v>
      </c>
      <c r="G251" s="1">
        <f t="shared" si="14"/>
        <v>-0.17995227496125565</v>
      </c>
    </row>
    <row r="252" spans="1:7" x14ac:dyDescent="0.25">
      <c r="A252" s="1">
        <v>-19.999999999999801</v>
      </c>
      <c r="B252" s="1">
        <v>-20.03</v>
      </c>
      <c r="C252">
        <v>53230</v>
      </c>
      <c r="D252" s="1">
        <f>1/('NTC PAW-A2W-TSOD'!$J$12+'NTC PAW-A2W-TSOD'!$J$13*LN(C252)+'NTC PAW-A2W-TSOD'!$J$14*(LN(C252))^3)-273.15</f>
        <v>-19.821868661350805</v>
      </c>
      <c r="E252" s="1">
        <f t="shared" si="12"/>
        <v>3.0000000000200089E-2</v>
      </c>
      <c r="F252" s="1">
        <f t="shared" si="13"/>
        <v>0.20813133864919564</v>
      </c>
      <c r="G252" s="1">
        <f t="shared" si="14"/>
        <v>-0.17813133864899555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F0AA-E0A4-47E1-86C2-1DF6B003CDEC}">
  <dimension ref="A1:D52"/>
  <sheetViews>
    <sheetView workbookViewId="0">
      <selection activeCell="H50" sqref="H50"/>
    </sheetView>
  </sheetViews>
  <sheetFormatPr baseColWidth="10" defaultRowHeight="15" x14ac:dyDescent="0.25"/>
  <cols>
    <col min="1" max="1" width="0.28515625" customWidth="1"/>
    <col min="3" max="3" width="0.42578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30</v>
      </c>
      <c r="B2">
        <v>30</v>
      </c>
      <c r="C2">
        <f t="shared" ref="C2:C9" si="0">$C$11-$B$11+B2</f>
        <v>34</v>
      </c>
    </row>
    <row r="3" spans="1:4" x14ac:dyDescent="0.25">
      <c r="A3">
        <v>29</v>
      </c>
      <c r="B3">
        <v>29</v>
      </c>
      <c r="C3">
        <f t="shared" si="0"/>
        <v>33</v>
      </c>
    </row>
    <row r="4" spans="1:4" x14ac:dyDescent="0.25">
      <c r="A4">
        <v>28</v>
      </c>
      <c r="B4">
        <v>28</v>
      </c>
      <c r="C4">
        <f t="shared" si="0"/>
        <v>32</v>
      </c>
    </row>
    <row r="5" spans="1:4" x14ac:dyDescent="0.25">
      <c r="A5">
        <v>27</v>
      </c>
      <c r="B5">
        <v>27</v>
      </c>
      <c r="C5">
        <f t="shared" si="0"/>
        <v>31</v>
      </c>
    </row>
    <row r="6" spans="1:4" x14ac:dyDescent="0.25">
      <c r="A6">
        <v>26</v>
      </c>
      <c r="B6">
        <v>26</v>
      </c>
      <c r="C6">
        <f t="shared" si="0"/>
        <v>30</v>
      </c>
    </row>
    <row r="7" spans="1:4" x14ac:dyDescent="0.25">
      <c r="A7">
        <v>25</v>
      </c>
      <c r="B7">
        <v>25</v>
      </c>
      <c r="C7">
        <f t="shared" si="0"/>
        <v>29</v>
      </c>
    </row>
    <row r="8" spans="1:4" x14ac:dyDescent="0.25">
      <c r="A8">
        <v>24</v>
      </c>
      <c r="B8">
        <v>24</v>
      </c>
      <c r="C8">
        <f t="shared" si="0"/>
        <v>28</v>
      </c>
    </row>
    <row r="9" spans="1:4" x14ac:dyDescent="0.25">
      <c r="A9">
        <v>23</v>
      </c>
      <c r="B9">
        <v>23</v>
      </c>
      <c r="C9">
        <f t="shared" si="0"/>
        <v>27</v>
      </c>
    </row>
    <row r="10" spans="1:4" x14ac:dyDescent="0.25">
      <c r="A10">
        <v>22</v>
      </c>
      <c r="B10">
        <v>22</v>
      </c>
      <c r="C10">
        <f>$C$11-$B$11+B10</f>
        <v>26</v>
      </c>
    </row>
    <row r="11" spans="1:4" x14ac:dyDescent="0.25">
      <c r="A11">
        <v>21</v>
      </c>
      <c r="B11">
        <v>21</v>
      </c>
      <c r="C11">
        <f>B11+D11</f>
        <v>25</v>
      </c>
      <c r="D11">
        <v>4</v>
      </c>
    </row>
    <row r="12" spans="1:4" x14ac:dyDescent="0.25">
      <c r="A12">
        <v>20</v>
      </c>
      <c r="B12">
        <v>20</v>
      </c>
      <c r="C12">
        <f t="shared" ref="C12:C47" si="1">B12+D12</f>
        <v>24</v>
      </c>
      <c r="D12">
        <v>4</v>
      </c>
    </row>
    <row r="13" spans="1:4" x14ac:dyDescent="0.25">
      <c r="A13">
        <v>19</v>
      </c>
      <c r="B13">
        <v>19</v>
      </c>
      <c r="C13">
        <f t="shared" si="1"/>
        <v>23</v>
      </c>
      <c r="D13">
        <v>4</v>
      </c>
    </row>
    <row r="14" spans="1:4" x14ac:dyDescent="0.25">
      <c r="A14">
        <v>18</v>
      </c>
      <c r="B14">
        <v>18</v>
      </c>
      <c r="C14">
        <f t="shared" si="1"/>
        <v>21</v>
      </c>
      <c r="D14">
        <v>3</v>
      </c>
    </row>
    <row r="15" spans="1:4" x14ac:dyDescent="0.25">
      <c r="A15">
        <v>17</v>
      </c>
      <c r="B15">
        <v>17</v>
      </c>
      <c r="C15">
        <f t="shared" si="1"/>
        <v>20</v>
      </c>
      <c r="D15">
        <v>3</v>
      </c>
    </row>
    <row r="16" spans="1:4" x14ac:dyDescent="0.25">
      <c r="A16">
        <v>16</v>
      </c>
      <c r="B16">
        <v>16</v>
      </c>
      <c r="C16">
        <f t="shared" si="1"/>
        <v>19</v>
      </c>
      <c r="D16">
        <v>3</v>
      </c>
    </row>
    <row r="17" spans="1:4" x14ac:dyDescent="0.25">
      <c r="A17">
        <v>15</v>
      </c>
      <c r="B17">
        <v>15</v>
      </c>
      <c r="C17">
        <f t="shared" si="1"/>
        <v>18</v>
      </c>
      <c r="D17">
        <v>3</v>
      </c>
    </row>
    <row r="18" spans="1:4" x14ac:dyDescent="0.25">
      <c r="A18">
        <v>14</v>
      </c>
      <c r="B18">
        <v>14</v>
      </c>
      <c r="C18">
        <f t="shared" si="1"/>
        <v>17</v>
      </c>
      <c r="D18">
        <v>3</v>
      </c>
    </row>
    <row r="19" spans="1:4" x14ac:dyDescent="0.25">
      <c r="A19">
        <v>13</v>
      </c>
      <c r="B19">
        <v>13</v>
      </c>
      <c r="C19">
        <f t="shared" si="1"/>
        <v>16</v>
      </c>
      <c r="D19">
        <v>3</v>
      </c>
    </row>
    <row r="20" spans="1:4" x14ac:dyDescent="0.25">
      <c r="A20">
        <v>12</v>
      </c>
      <c r="B20">
        <v>12</v>
      </c>
      <c r="C20">
        <f t="shared" si="1"/>
        <v>15</v>
      </c>
      <c r="D20">
        <v>3</v>
      </c>
    </row>
    <row r="21" spans="1:4" x14ac:dyDescent="0.25">
      <c r="A21">
        <v>11</v>
      </c>
      <c r="B21">
        <v>11</v>
      </c>
      <c r="C21">
        <f t="shared" si="1"/>
        <v>13</v>
      </c>
      <c r="D21">
        <v>2</v>
      </c>
    </row>
    <row r="22" spans="1:4" x14ac:dyDescent="0.25">
      <c r="A22">
        <v>10</v>
      </c>
      <c r="B22">
        <v>10</v>
      </c>
      <c r="C22">
        <f t="shared" si="1"/>
        <v>12</v>
      </c>
      <c r="D22">
        <v>2</v>
      </c>
    </row>
    <row r="23" spans="1:4" x14ac:dyDescent="0.25">
      <c r="A23">
        <v>9</v>
      </c>
      <c r="B23">
        <v>9</v>
      </c>
      <c r="C23">
        <f t="shared" si="1"/>
        <v>11</v>
      </c>
      <c r="D23">
        <v>2</v>
      </c>
    </row>
    <row r="24" spans="1:4" x14ac:dyDescent="0.25">
      <c r="A24">
        <v>8</v>
      </c>
      <c r="B24">
        <v>8</v>
      </c>
      <c r="C24">
        <f t="shared" si="1"/>
        <v>10</v>
      </c>
      <c r="D24">
        <v>2</v>
      </c>
    </row>
    <row r="25" spans="1:4" x14ac:dyDescent="0.25">
      <c r="A25">
        <v>7</v>
      </c>
      <c r="B25">
        <v>7</v>
      </c>
      <c r="C25">
        <f t="shared" si="1"/>
        <v>9</v>
      </c>
      <c r="D25">
        <v>2</v>
      </c>
    </row>
    <row r="26" spans="1:4" x14ac:dyDescent="0.25">
      <c r="A26">
        <v>6</v>
      </c>
      <c r="B26">
        <v>6</v>
      </c>
      <c r="C26">
        <f t="shared" si="1"/>
        <v>7</v>
      </c>
      <c r="D26">
        <v>1</v>
      </c>
    </row>
    <row r="27" spans="1:4" x14ac:dyDescent="0.25">
      <c r="A27">
        <v>5</v>
      </c>
      <c r="B27">
        <v>5</v>
      </c>
      <c r="C27">
        <f t="shared" si="1"/>
        <v>6</v>
      </c>
      <c r="D27">
        <v>1</v>
      </c>
    </row>
    <row r="28" spans="1:4" x14ac:dyDescent="0.25">
      <c r="A28">
        <v>4</v>
      </c>
      <c r="B28">
        <v>4</v>
      </c>
      <c r="C28">
        <f t="shared" si="1"/>
        <v>5</v>
      </c>
      <c r="D28">
        <v>1</v>
      </c>
    </row>
    <row r="29" spans="1:4" x14ac:dyDescent="0.25">
      <c r="A29">
        <v>3</v>
      </c>
      <c r="B29">
        <v>3</v>
      </c>
      <c r="C29">
        <f t="shared" si="1"/>
        <v>4</v>
      </c>
      <c r="D29">
        <v>1</v>
      </c>
    </row>
    <row r="30" spans="1:4" x14ac:dyDescent="0.25">
      <c r="A30">
        <v>2</v>
      </c>
      <c r="B30">
        <v>2</v>
      </c>
      <c r="C30">
        <f t="shared" si="1"/>
        <v>3</v>
      </c>
      <c r="D30">
        <v>1</v>
      </c>
    </row>
    <row r="31" spans="1:4" x14ac:dyDescent="0.25">
      <c r="A31">
        <v>1</v>
      </c>
      <c r="B31">
        <v>1</v>
      </c>
      <c r="C31">
        <f t="shared" si="1"/>
        <v>2</v>
      </c>
      <c r="D31">
        <v>1</v>
      </c>
    </row>
    <row r="32" spans="1:4" x14ac:dyDescent="0.25">
      <c r="A32">
        <v>0</v>
      </c>
      <c r="B32">
        <v>0</v>
      </c>
      <c r="C32">
        <f t="shared" si="1"/>
        <v>0</v>
      </c>
      <c r="D32">
        <v>0</v>
      </c>
    </row>
    <row r="33" spans="1:4" x14ac:dyDescent="0.25">
      <c r="A33">
        <v>-1</v>
      </c>
      <c r="B33">
        <v>-1</v>
      </c>
      <c r="C33">
        <f>B33+D33</f>
        <v>-2</v>
      </c>
      <c r="D33">
        <v>-1</v>
      </c>
    </row>
    <row r="34" spans="1:4" x14ac:dyDescent="0.25">
      <c r="A34">
        <v>-2</v>
      </c>
      <c r="B34">
        <v>-2</v>
      </c>
      <c r="C34">
        <f t="shared" si="1"/>
        <v>-3</v>
      </c>
      <c r="D34">
        <v>-1</v>
      </c>
    </row>
    <row r="35" spans="1:4" x14ac:dyDescent="0.25">
      <c r="A35">
        <v>-3</v>
      </c>
      <c r="B35">
        <v>-3</v>
      </c>
      <c r="C35">
        <f t="shared" si="1"/>
        <v>-4</v>
      </c>
      <c r="D35">
        <v>-1</v>
      </c>
    </row>
    <row r="36" spans="1:4" x14ac:dyDescent="0.25">
      <c r="A36">
        <v>-4</v>
      </c>
      <c r="B36">
        <v>-4</v>
      </c>
      <c r="C36">
        <f t="shared" si="1"/>
        <v>-5</v>
      </c>
      <c r="D36">
        <v>-1</v>
      </c>
    </row>
    <row r="37" spans="1:4" x14ac:dyDescent="0.25">
      <c r="A37">
        <v>-5</v>
      </c>
      <c r="B37">
        <v>-5</v>
      </c>
      <c r="C37">
        <f t="shared" si="1"/>
        <v>-7</v>
      </c>
      <c r="D37">
        <v>-2</v>
      </c>
    </row>
    <row r="38" spans="1:4" x14ac:dyDescent="0.25">
      <c r="A38">
        <v>-6</v>
      </c>
      <c r="B38">
        <v>-6</v>
      </c>
      <c r="C38">
        <f t="shared" si="1"/>
        <v>-8</v>
      </c>
      <c r="D38">
        <v>-2</v>
      </c>
    </row>
    <row r="39" spans="1:4" x14ac:dyDescent="0.25">
      <c r="A39">
        <v>-7</v>
      </c>
      <c r="B39">
        <v>-7</v>
      </c>
      <c r="C39">
        <f t="shared" si="1"/>
        <v>-9</v>
      </c>
      <c r="D39">
        <v>-2</v>
      </c>
    </row>
    <row r="40" spans="1:4" x14ac:dyDescent="0.25">
      <c r="A40">
        <v>-8</v>
      </c>
      <c r="B40">
        <v>-8</v>
      </c>
      <c r="C40">
        <f t="shared" si="1"/>
        <v>-10</v>
      </c>
      <c r="D40">
        <v>-2</v>
      </c>
    </row>
    <row r="41" spans="1:4" x14ac:dyDescent="0.25">
      <c r="A41">
        <v>-9</v>
      </c>
      <c r="B41">
        <v>-9</v>
      </c>
      <c r="C41">
        <f t="shared" si="1"/>
        <v>-11</v>
      </c>
      <c r="D41">
        <v>-2</v>
      </c>
    </row>
    <row r="42" spans="1:4" x14ac:dyDescent="0.25">
      <c r="A42">
        <v>-10</v>
      </c>
      <c r="B42">
        <v>-10</v>
      </c>
      <c r="C42">
        <f t="shared" si="1"/>
        <v>-13</v>
      </c>
      <c r="D42">
        <v>-3</v>
      </c>
    </row>
    <row r="43" spans="1:4" x14ac:dyDescent="0.25">
      <c r="A43">
        <v>-11</v>
      </c>
      <c r="B43">
        <v>-11</v>
      </c>
      <c r="C43">
        <f t="shared" si="1"/>
        <v>-14</v>
      </c>
      <c r="D43">
        <v>-3</v>
      </c>
    </row>
    <row r="44" spans="1:4" x14ac:dyDescent="0.25">
      <c r="A44">
        <v>-12</v>
      </c>
      <c r="B44">
        <v>-12</v>
      </c>
      <c r="C44">
        <f t="shared" si="1"/>
        <v>-15</v>
      </c>
      <c r="D44">
        <v>-3</v>
      </c>
    </row>
    <row r="45" spans="1:4" x14ac:dyDescent="0.25">
      <c r="A45">
        <v>-13</v>
      </c>
      <c r="B45">
        <v>-13</v>
      </c>
      <c r="C45">
        <f t="shared" si="1"/>
        <v>-16</v>
      </c>
      <c r="D45">
        <v>-3</v>
      </c>
    </row>
    <row r="46" spans="1:4" x14ac:dyDescent="0.25">
      <c r="A46">
        <v>-14</v>
      </c>
      <c r="B46">
        <v>-14</v>
      </c>
      <c r="C46">
        <f t="shared" si="1"/>
        <v>-17</v>
      </c>
      <c r="D46">
        <v>-3</v>
      </c>
    </row>
    <row r="47" spans="1:4" x14ac:dyDescent="0.25">
      <c r="A47">
        <v>-15</v>
      </c>
      <c r="B47">
        <v>-15</v>
      </c>
      <c r="C47">
        <f t="shared" si="1"/>
        <v>-18</v>
      </c>
      <c r="D47">
        <v>-3</v>
      </c>
    </row>
    <row r="48" spans="1:4" x14ac:dyDescent="0.25">
      <c r="A48">
        <v>-16</v>
      </c>
      <c r="B48">
        <v>-16</v>
      </c>
      <c r="C48">
        <f>$C$47-$B$47+B48</f>
        <v>-19</v>
      </c>
    </row>
    <row r="49" spans="1:3" x14ac:dyDescent="0.25">
      <c r="A49">
        <v>-17</v>
      </c>
      <c r="B49">
        <v>-17</v>
      </c>
      <c r="C49">
        <f t="shared" ref="C49:C52" si="2">$C$47-$B$47+B49</f>
        <v>-20</v>
      </c>
    </row>
    <row r="50" spans="1:3" x14ac:dyDescent="0.25">
      <c r="A50">
        <v>-18</v>
      </c>
      <c r="B50">
        <v>-18</v>
      </c>
      <c r="C50">
        <f t="shared" si="2"/>
        <v>-21</v>
      </c>
    </row>
    <row r="51" spans="1:3" x14ac:dyDescent="0.25">
      <c r="A51">
        <v>-19</v>
      </c>
      <c r="B51">
        <v>-19</v>
      </c>
      <c r="C51">
        <f t="shared" si="2"/>
        <v>-22</v>
      </c>
    </row>
    <row r="52" spans="1:3" x14ac:dyDescent="0.25">
      <c r="A52">
        <v>-20</v>
      </c>
      <c r="B52">
        <v>-20</v>
      </c>
      <c r="C52">
        <f t="shared" si="2"/>
        <v>-23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4415-9040-49E2-B980-3113FD65A460}">
  <dimension ref="A1:O227"/>
  <sheetViews>
    <sheetView workbookViewId="0">
      <selection activeCell="L12" sqref="L12"/>
    </sheetView>
  </sheetViews>
  <sheetFormatPr baseColWidth="10" defaultRowHeight="15" x14ac:dyDescent="0.25"/>
  <cols>
    <col min="1" max="1" width="12.5703125" bestFit="1" customWidth="1"/>
    <col min="2" max="2" width="12.7109375" bestFit="1" customWidth="1"/>
    <col min="3" max="3" width="15.7109375" bestFit="1" customWidth="1"/>
    <col min="9" max="9" width="20.28515625" bestFit="1" customWidth="1"/>
    <col min="10" max="10" width="11.5703125" bestFit="1" customWidth="1"/>
    <col min="11" max="11" width="10.85546875" bestFit="1" customWidth="1"/>
    <col min="12" max="13" width="12" bestFit="1" customWidth="1"/>
    <col min="14" max="14" width="12.7109375" bestFit="1" customWidth="1"/>
    <col min="15" max="15" width="11.5703125" bestFit="1" customWidth="1"/>
  </cols>
  <sheetData>
    <row r="1" spans="1:15" ht="15.75" thickBot="1" x14ac:dyDescent="0.3">
      <c r="A1" s="59" t="s">
        <v>5</v>
      </c>
      <c r="B1" s="60" t="s">
        <v>36</v>
      </c>
      <c r="C1" s="61" t="s">
        <v>37</v>
      </c>
      <c r="D1" s="69" t="s">
        <v>38</v>
      </c>
      <c r="E1" s="69"/>
      <c r="F1" s="69" t="s">
        <v>39</v>
      </c>
      <c r="G1" s="69"/>
      <c r="I1" s="3"/>
      <c r="J1" s="4" t="s">
        <v>5</v>
      </c>
      <c r="K1" s="4" t="s">
        <v>6</v>
      </c>
      <c r="L1" s="5" t="s">
        <v>7</v>
      </c>
      <c r="M1" s="6" t="s">
        <v>8</v>
      </c>
    </row>
    <row r="2" spans="1:15" x14ac:dyDescent="0.25">
      <c r="A2" s="52">
        <v>150</v>
      </c>
      <c r="B2" s="50">
        <v>0.14699999999999999</v>
      </c>
      <c r="C2" s="54">
        <f t="shared" ref="C2:C32" si="0">B2*1000</f>
        <v>147</v>
      </c>
      <c r="D2">
        <v>-40</v>
      </c>
      <c r="E2" s="2">
        <f t="shared" ref="E2:E65" si="1">EXP(((SQRT(($J$13/(3*$J$14))^3+((($J$12-(1/(D2+273.15)))/$J$14)^2)/4))-((($J$12-(1/(D2+273.15)))/$J$14)/2))^(1/3)-((SQRT(($J$13/(3*$J$14))^3+((($J$12-(1/(D2+273.15)))/$J$14)^2)/4))+((($J$12-(1/(D2+273.15)))/$J$14)/2))^(1/3))</f>
        <v>167820.00000000003</v>
      </c>
      <c r="F2" s="2">
        <f t="shared" ref="F2:F33" si="2">E2</f>
        <v>167820.00000000003</v>
      </c>
      <c r="G2" s="40">
        <f t="shared" ref="G2:G65" si="3">1/($J$12+$J$13*LN(F2)+$J$14*(LN(F2))^3)-273.15</f>
        <v>-40</v>
      </c>
      <c r="I2" s="7" t="s">
        <v>9</v>
      </c>
      <c r="J2" s="8">
        <v>-40</v>
      </c>
      <c r="K2" s="8">
        <v>167820</v>
      </c>
      <c r="L2" s="9">
        <f>J2+273.15</f>
        <v>233.14999999999998</v>
      </c>
      <c r="M2" s="10">
        <f>LN(K2)</f>
        <v>12.030647255424061</v>
      </c>
    </row>
    <row r="3" spans="1:15" x14ac:dyDescent="0.25">
      <c r="A3" s="53">
        <v>140</v>
      </c>
      <c r="B3" s="51">
        <v>0.186</v>
      </c>
      <c r="C3" s="55">
        <f t="shared" si="0"/>
        <v>186</v>
      </c>
      <c r="D3">
        <f>D2+1</f>
        <v>-39</v>
      </c>
      <c r="E3" s="2">
        <f t="shared" si="1"/>
        <v>157974.8564825542</v>
      </c>
      <c r="F3" s="2">
        <f t="shared" si="2"/>
        <v>157974.8564825542</v>
      </c>
      <c r="G3" s="40">
        <f t="shared" si="3"/>
        <v>-38.999999999999829</v>
      </c>
      <c r="I3" s="7" t="s">
        <v>10</v>
      </c>
      <c r="J3" s="8">
        <v>25</v>
      </c>
      <c r="K3" s="8">
        <v>6523</v>
      </c>
      <c r="L3" s="9">
        <f>J3+273.15</f>
        <v>298.14999999999998</v>
      </c>
      <c r="M3" s="10">
        <f>LN(K3)</f>
        <v>8.7830896717960965</v>
      </c>
    </row>
    <row r="4" spans="1:15" ht="15.75" thickBot="1" x14ac:dyDescent="0.3">
      <c r="A4" s="53">
        <v>130</v>
      </c>
      <c r="B4" s="51">
        <v>0.23599999999999999</v>
      </c>
      <c r="C4" s="55">
        <f t="shared" si="0"/>
        <v>236</v>
      </c>
      <c r="D4">
        <f t="shared" ref="D4:D67" si="4">D3+1</f>
        <v>-38</v>
      </c>
      <c r="E4" s="2">
        <f t="shared" si="1"/>
        <v>148765.36017883845</v>
      </c>
      <c r="F4" s="2">
        <f t="shared" si="2"/>
        <v>148765.36017883845</v>
      </c>
      <c r="G4" s="40">
        <f t="shared" si="3"/>
        <v>-38</v>
      </c>
      <c r="I4" s="11" t="s">
        <v>11</v>
      </c>
      <c r="J4" s="12">
        <v>120</v>
      </c>
      <c r="K4" s="12">
        <v>302</v>
      </c>
      <c r="L4" s="13">
        <f>J4+273.15</f>
        <v>393.15</v>
      </c>
      <c r="M4" s="14">
        <f>LN(K4)</f>
        <v>5.7104270173748697</v>
      </c>
    </row>
    <row r="5" spans="1:15" ht="15.75" thickBot="1" x14ac:dyDescent="0.3">
      <c r="A5" s="53">
        <v>120</v>
      </c>
      <c r="B5" s="51">
        <v>0.30199999999999999</v>
      </c>
      <c r="C5" s="55">
        <f t="shared" si="0"/>
        <v>302</v>
      </c>
      <c r="D5">
        <f t="shared" si="4"/>
        <v>-37</v>
      </c>
      <c r="E5" s="2">
        <f t="shared" si="1"/>
        <v>140146.9749767342</v>
      </c>
      <c r="F5" s="2">
        <f t="shared" si="2"/>
        <v>140146.9749767342</v>
      </c>
      <c r="G5" s="40">
        <f t="shared" si="3"/>
        <v>-37.000000000000142</v>
      </c>
    </row>
    <row r="6" spans="1:15" x14ac:dyDescent="0.25">
      <c r="A6" s="53">
        <v>110</v>
      </c>
      <c r="B6" s="51">
        <v>0.39</v>
      </c>
      <c r="C6" s="55">
        <f t="shared" si="0"/>
        <v>390</v>
      </c>
      <c r="D6">
        <f t="shared" si="4"/>
        <v>-36</v>
      </c>
      <c r="E6" s="2">
        <f t="shared" si="1"/>
        <v>132078.51692233919</v>
      </c>
      <c r="F6" s="2">
        <f t="shared" si="2"/>
        <v>132078.51692233919</v>
      </c>
      <c r="G6" s="40">
        <f t="shared" si="3"/>
        <v>-36.000000000000028</v>
      </c>
      <c r="I6" s="15" t="s">
        <v>12</v>
      </c>
      <c r="J6" s="16">
        <f>M2-M3</f>
        <v>3.2475575836279642</v>
      </c>
    </row>
    <row r="7" spans="1:15" x14ac:dyDescent="0.25">
      <c r="A7" s="53">
        <v>100</v>
      </c>
      <c r="B7" s="51">
        <v>0.51100000000000001</v>
      </c>
      <c r="C7" s="55">
        <f t="shared" si="0"/>
        <v>511</v>
      </c>
      <c r="D7">
        <f t="shared" si="4"/>
        <v>-35</v>
      </c>
      <c r="E7" s="2">
        <f t="shared" si="1"/>
        <v>124521.885239045</v>
      </c>
      <c r="F7" s="2">
        <f t="shared" si="2"/>
        <v>124521.885239045</v>
      </c>
      <c r="G7" s="40">
        <f t="shared" si="3"/>
        <v>-35.000000000000057</v>
      </c>
      <c r="I7" s="7" t="s">
        <v>13</v>
      </c>
      <c r="J7" s="17">
        <f>M2-M4</f>
        <v>6.320220238049191</v>
      </c>
    </row>
    <row r="8" spans="1:15" x14ac:dyDescent="0.25">
      <c r="A8" s="53">
        <v>90</v>
      </c>
      <c r="B8" s="51">
        <v>0.68600000000000005</v>
      </c>
      <c r="C8" s="55">
        <f t="shared" si="0"/>
        <v>686</v>
      </c>
      <c r="D8">
        <f t="shared" si="4"/>
        <v>-34</v>
      </c>
      <c r="E8" s="2">
        <f t="shared" si="1"/>
        <v>117441.81621691574</v>
      </c>
      <c r="F8" s="2">
        <f t="shared" si="2"/>
        <v>117441.81621691574</v>
      </c>
      <c r="G8" s="40">
        <f t="shared" si="3"/>
        <v>-34.000000000000057</v>
      </c>
      <c r="I8" s="7" t="s">
        <v>14</v>
      </c>
      <c r="J8" s="17">
        <f>(1/L2) - (1/L3)</f>
        <v>9.3506784582558225E-4</v>
      </c>
      <c r="N8" s="18"/>
      <c r="O8" s="19"/>
    </row>
    <row r="9" spans="1:15" ht="15.75" thickBot="1" x14ac:dyDescent="0.3">
      <c r="A9" s="53">
        <v>80</v>
      </c>
      <c r="B9" s="51">
        <v>0.93200000000000005</v>
      </c>
      <c r="C9" s="55">
        <f t="shared" si="0"/>
        <v>932</v>
      </c>
      <c r="D9">
        <f t="shared" si="4"/>
        <v>-33</v>
      </c>
      <c r="E9" s="2">
        <f t="shared" si="1"/>
        <v>110805.65792201112</v>
      </c>
      <c r="F9" s="2">
        <f t="shared" si="2"/>
        <v>110805.65792201112</v>
      </c>
      <c r="G9" s="40">
        <f t="shared" si="3"/>
        <v>-33.000000000000256</v>
      </c>
      <c r="I9" s="11" t="s">
        <v>15</v>
      </c>
      <c r="J9" s="20">
        <f>(1/L2)-(1/L4)</f>
        <v>1.7455258422509937E-3</v>
      </c>
      <c r="N9" s="18"/>
      <c r="O9" s="19"/>
    </row>
    <row r="10" spans="1:15" ht="15.75" thickBot="1" x14ac:dyDescent="0.3">
      <c r="A10" s="53">
        <v>70</v>
      </c>
      <c r="B10" s="51">
        <v>1.2789999999999999</v>
      </c>
      <c r="C10" s="55">
        <f t="shared" si="0"/>
        <v>1279</v>
      </c>
      <c r="D10">
        <f t="shared" si="4"/>
        <v>-32</v>
      </c>
      <c r="E10" s="2">
        <f t="shared" si="1"/>
        <v>104583.16386826061</v>
      </c>
      <c r="F10" s="2">
        <f t="shared" si="2"/>
        <v>104583.16386826061</v>
      </c>
      <c r="G10" s="40">
        <f t="shared" si="3"/>
        <v>-31.999999999999801</v>
      </c>
      <c r="J10" s="21"/>
      <c r="N10" s="18"/>
      <c r="O10" s="19"/>
    </row>
    <row r="11" spans="1:15" ht="15.75" thickBot="1" x14ac:dyDescent="0.3">
      <c r="A11" s="53">
        <v>65</v>
      </c>
      <c r="B11" s="51">
        <v>1.504</v>
      </c>
      <c r="C11" s="55">
        <f t="shared" si="0"/>
        <v>1504</v>
      </c>
      <c r="D11">
        <f t="shared" si="4"/>
        <v>-31</v>
      </c>
      <c r="E11" s="2">
        <f t="shared" si="1"/>
        <v>98746.303968579639</v>
      </c>
      <c r="F11" s="2">
        <f t="shared" si="2"/>
        <v>98746.303968579639</v>
      </c>
      <c r="G11" s="40">
        <f t="shared" si="3"/>
        <v>-30.999999999999716</v>
      </c>
      <c r="I11" s="67" t="s">
        <v>16</v>
      </c>
      <c r="J11" s="68"/>
      <c r="N11" s="18"/>
      <c r="O11" s="19"/>
    </row>
    <row r="12" spans="1:15" x14ac:dyDescent="0.25">
      <c r="A12" s="53">
        <v>60</v>
      </c>
      <c r="B12" s="51">
        <v>1.7769999999999999</v>
      </c>
      <c r="C12" s="55">
        <f t="shared" si="0"/>
        <v>1777</v>
      </c>
      <c r="D12">
        <f t="shared" si="4"/>
        <v>-30</v>
      </c>
      <c r="E12" s="2">
        <f t="shared" si="1"/>
        <v>93269.091238791312</v>
      </c>
      <c r="F12" s="2">
        <f t="shared" si="2"/>
        <v>93269.091238791312</v>
      </c>
      <c r="G12" s="40">
        <f t="shared" si="3"/>
        <v>-29.999999999999915</v>
      </c>
      <c r="I12" s="22" t="s">
        <v>17</v>
      </c>
      <c r="J12" s="23">
        <f>1/L2-J14*M2^3-J13*M2</f>
        <v>1.1421409845985232E-3</v>
      </c>
      <c r="M12" s="24"/>
      <c r="N12" s="18"/>
      <c r="O12" s="19"/>
    </row>
    <row r="13" spans="1:15" x14ac:dyDescent="0.25">
      <c r="A13" s="53">
        <v>55</v>
      </c>
      <c r="B13" s="51">
        <v>2.1059999999999999</v>
      </c>
      <c r="C13" s="55">
        <f t="shared" si="0"/>
        <v>2106</v>
      </c>
      <c r="D13">
        <f t="shared" si="4"/>
        <v>-29</v>
      </c>
      <c r="E13" s="2">
        <f t="shared" si="1"/>
        <v>88127.422869652801</v>
      </c>
      <c r="F13" s="2">
        <f t="shared" si="2"/>
        <v>88127.422869652801</v>
      </c>
      <c r="G13" s="40">
        <f t="shared" si="3"/>
        <v>-29.000000000000057</v>
      </c>
      <c r="I13" s="7" t="s">
        <v>18</v>
      </c>
      <c r="J13" s="25">
        <f>(J8-J14*(M2^3-M3^3))/J6</f>
        <v>2.4071311332580307E-4</v>
      </c>
      <c r="N13" s="18"/>
      <c r="O13" s="19"/>
    </row>
    <row r="14" spans="1:15" ht="15.75" thickBot="1" x14ac:dyDescent="0.3">
      <c r="A14" s="53">
        <v>50</v>
      </c>
      <c r="B14" s="51">
        <v>2.508</v>
      </c>
      <c r="C14" s="55">
        <f t="shared" si="0"/>
        <v>2508</v>
      </c>
      <c r="D14">
        <f t="shared" si="4"/>
        <v>-28</v>
      </c>
      <c r="E14" s="2">
        <f t="shared" si="1"/>
        <v>83298.934410099886</v>
      </c>
      <c r="F14" s="2">
        <f t="shared" si="2"/>
        <v>83298.934410099886</v>
      </c>
      <c r="G14" s="40">
        <f t="shared" si="3"/>
        <v>-28.000000000000114</v>
      </c>
      <c r="I14" s="11" t="s">
        <v>19</v>
      </c>
      <c r="J14" s="26">
        <f>(J8-J6*J9/J7)/((M2^3-M3^3)-J6*(M2^3-M4^3)/J7)</f>
        <v>1.4415239537726078E-7</v>
      </c>
      <c r="N14" s="18"/>
      <c r="O14" s="19"/>
    </row>
    <row r="15" spans="1:15" ht="15.75" thickBot="1" x14ac:dyDescent="0.3">
      <c r="A15" s="53">
        <v>45</v>
      </c>
      <c r="B15" s="51">
        <v>3.0030000000000001</v>
      </c>
      <c r="C15" s="55">
        <f t="shared" si="0"/>
        <v>3003</v>
      </c>
      <c r="D15">
        <f t="shared" si="4"/>
        <v>-27</v>
      </c>
      <c r="E15" s="2">
        <f t="shared" si="1"/>
        <v>78762.865920348908</v>
      </c>
      <c r="F15" s="2">
        <f t="shared" si="2"/>
        <v>78762.865920348908</v>
      </c>
      <c r="G15" s="40">
        <f t="shared" si="3"/>
        <v>-26.999999999999943</v>
      </c>
      <c r="N15" s="18"/>
      <c r="O15" s="19"/>
    </row>
    <row r="16" spans="1:15" ht="15.75" thickBot="1" x14ac:dyDescent="0.3">
      <c r="A16" s="53">
        <v>40</v>
      </c>
      <c r="B16" s="51">
        <v>3.6150000000000002</v>
      </c>
      <c r="C16" s="55">
        <f t="shared" si="0"/>
        <v>3615</v>
      </c>
      <c r="D16">
        <f t="shared" si="4"/>
        <v>-26</v>
      </c>
      <c r="E16" s="2">
        <f t="shared" si="1"/>
        <v>74499.939057919139</v>
      </c>
      <c r="F16" s="2">
        <f t="shared" si="2"/>
        <v>74499.939057919139</v>
      </c>
      <c r="G16" s="40">
        <f t="shared" si="3"/>
        <v>-25.999999999999972</v>
      </c>
      <c r="I16" s="27" t="s">
        <v>30</v>
      </c>
      <c r="J16" s="41"/>
      <c r="K16" s="28" t="s">
        <v>6</v>
      </c>
      <c r="L16" s="28" t="s">
        <v>31</v>
      </c>
      <c r="M16" s="28" t="s">
        <v>32</v>
      </c>
      <c r="N16" s="42" t="s">
        <v>33</v>
      </c>
      <c r="O16" s="43" t="s">
        <v>34</v>
      </c>
    </row>
    <row r="17" spans="1:15" x14ac:dyDescent="0.25">
      <c r="A17" s="53">
        <v>35</v>
      </c>
      <c r="B17" s="51">
        <v>4.375</v>
      </c>
      <c r="C17" s="55">
        <f t="shared" si="0"/>
        <v>4375</v>
      </c>
      <c r="D17">
        <f t="shared" si="4"/>
        <v>-25</v>
      </c>
      <c r="E17" s="2">
        <f t="shared" si="1"/>
        <v>70492.244154012005</v>
      </c>
      <c r="F17" s="2">
        <f t="shared" si="2"/>
        <v>70492.244154012005</v>
      </c>
      <c r="G17" s="40">
        <f t="shared" si="3"/>
        <v>-24.999999999999687</v>
      </c>
      <c r="I17" s="29" t="s">
        <v>35</v>
      </c>
      <c r="J17" s="30">
        <v>15.49</v>
      </c>
      <c r="K17" s="31">
        <f>EXP((O17-(N17/2))^(1/3)-(O17+(N17/2))^(1/3))</f>
        <v>9740.31468619937</v>
      </c>
      <c r="L17" s="44">
        <f>-1*K17/(J18^2*($J$13+3*$J$14*(LN(K17))^2))</f>
        <v>-421.77756427804314</v>
      </c>
      <c r="M17" s="44">
        <f>L17/K17*100</f>
        <v>-4.3302252326163702</v>
      </c>
      <c r="N17" s="45">
        <f>($J$12-(1/J18))/$J$14</f>
        <v>-16110.60496719482</v>
      </c>
      <c r="O17" s="46">
        <f>SQRT(($J$13/(3*$J$14))^3+(N17^2)/4)</f>
        <v>15405.86113347145</v>
      </c>
    </row>
    <row r="18" spans="1:15" ht="15.75" thickBot="1" x14ac:dyDescent="0.3">
      <c r="A18" s="53">
        <v>30</v>
      </c>
      <c r="B18" s="51">
        <v>5.3259999999999996</v>
      </c>
      <c r="C18" s="55">
        <f t="shared" si="0"/>
        <v>5326</v>
      </c>
      <c r="D18">
        <f t="shared" si="4"/>
        <v>-24</v>
      </c>
      <c r="E18" s="2">
        <f t="shared" si="1"/>
        <v>66723.136423127697</v>
      </c>
      <c r="F18" s="2">
        <f t="shared" si="2"/>
        <v>66723.136423127697</v>
      </c>
      <c r="G18" s="40">
        <f t="shared" si="3"/>
        <v>-23.999999999999972</v>
      </c>
      <c r="I18" s="47" t="s">
        <v>7</v>
      </c>
      <c r="J18" s="13">
        <f>J17+273.15</f>
        <v>288.64</v>
      </c>
      <c r="K18" s="13"/>
      <c r="L18" s="13"/>
      <c r="M18" s="13"/>
      <c r="N18" s="13"/>
      <c r="O18" s="48"/>
    </row>
    <row r="19" spans="1:15" ht="15.75" thickBot="1" x14ac:dyDescent="0.3">
      <c r="A19" s="53">
        <v>25</v>
      </c>
      <c r="B19" s="51">
        <v>6.5229999999999997</v>
      </c>
      <c r="C19" s="55">
        <f t="shared" si="0"/>
        <v>6523</v>
      </c>
      <c r="D19">
        <f t="shared" si="4"/>
        <v>-23</v>
      </c>
      <c r="E19" s="2">
        <f t="shared" si="1"/>
        <v>63177.140526032279</v>
      </c>
      <c r="F19" s="2">
        <f t="shared" si="2"/>
        <v>63177.140526032279</v>
      </c>
      <c r="G19" s="40">
        <f t="shared" si="3"/>
        <v>-22.999999999999801</v>
      </c>
    </row>
    <row r="20" spans="1:15" ht="15.75" thickBot="1" x14ac:dyDescent="0.3">
      <c r="A20" s="53">
        <v>20</v>
      </c>
      <c r="B20" s="51">
        <v>8.0440000000000005</v>
      </c>
      <c r="C20" s="55">
        <f t="shared" si="0"/>
        <v>8044.0000000000009</v>
      </c>
      <c r="D20">
        <f t="shared" si="4"/>
        <v>-22</v>
      </c>
      <c r="E20" s="2">
        <f t="shared" si="1"/>
        <v>59839.862776279602</v>
      </c>
      <c r="F20" s="2">
        <f t="shared" si="2"/>
        <v>59839.862776279602</v>
      </c>
      <c r="G20" s="40">
        <f t="shared" si="3"/>
        <v>-22.000000000000142</v>
      </c>
      <c r="I20" s="27" t="s">
        <v>20</v>
      </c>
      <c r="J20" s="32"/>
      <c r="K20" s="28" t="s">
        <v>21</v>
      </c>
      <c r="L20" s="32"/>
      <c r="M20" s="32"/>
      <c r="N20" s="33"/>
    </row>
    <row r="21" spans="1:15" x14ac:dyDescent="0.25">
      <c r="A21" s="53">
        <v>15</v>
      </c>
      <c r="B21" s="51">
        <v>9.98</v>
      </c>
      <c r="C21" s="55">
        <f t="shared" si="0"/>
        <v>9980</v>
      </c>
      <c r="D21">
        <f t="shared" si="4"/>
        <v>-21</v>
      </c>
      <c r="E21" s="2">
        <f t="shared" si="1"/>
        <v>56697.910343797725</v>
      </c>
      <c r="F21" s="2">
        <f t="shared" si="2"/>
        <v>56697.910343797725</v>
      </c>
      <c r="G21" s="40">
        <f t="shared" si="3"/>
        <v>-20.999999999999545</v>
      </c>
      <c r="I21" s="29" t="s">
        <v>22</v>
      </c>
      <c r="J21" s="30">
        <v>9740</v>
      </c>
      <c r="K21" s="31">
        <f>1/(J12+J13*LN(J21)+J14*(LN(J21))^3)-273.15</f>
        <v>15.490746108796202</v>
      </c>
      <c r="L21" s="34">
        <f>1/(J12+J13*LN(J21)+J14*(LN(J21))^3)-273.15</f>
        <v>15.490746108796202</v>
      </c>
      <c r="M21" s="34">
        <f>LN((10240000/569)-10000)</f>
        <v>8.986757356800803</v>
      </c>
      <c r="N21" s="35">
        <f>LN(((10240000/569)-10000)/10000)</f>
        <v>-0.22358301517538065</v>
      </c>
    </row>
    <row r="22" spans="1:15" x14ac:dyDescent="0.25">
      <c r="A22" s="53">
        <v>10</v>
      </c>
      <c r="B22" s="51">
        <v>12.443</v>
      </c>
      <c r="C22" s="55">
        <f t="shared" si="0"/>
        <v>12443</v>
      </c>
      <c r="D22">
        <f t="shared" si="4"/>
        <v>-20</v>
      </c>
      <c r="E22" s="2">
        <f t="shared" si="1"/>
        <v>53738.816866654146</v>
      </c>
      <c r="F22" s="2">
        <f t="shared" si="2"/>
        <v>53738.816866654146</v>
      </c>
      <c r="G22" s="40">
        <f t="shared" si="3"/>
        <v>-20.000000000000114</v>
      </c>
      <c r="I22" s="7"/>
      <c r="J22" s="9"/>
      <c r="K22" s="36"/>
      <c r="L22" s="9"/>
      <c r="M22" s="9">
        <f>1 / (0.001138942 + (0.000232762 + (0.000000091 * M21 * M21)) * M21)</f>
        <v>303.32772855446865</v>
      </c>
      <c r="N22" s="37">
        <f>1/(0.003354016+(0.000256985*N21)+(0.000002620131*N21*N21))</f>
        <v>303.33460301598802</v>
      </c>
    </row>
    <row r="23" spans="1:15" ht="15.75" thickBot="1" x14ac:dyDescent="0.3">
      <c r="A23" s="53">
        <v>5</v>
      </c>
      <c r="B23" s="51">
        <v>15.603999999999999</v>
      </c>
      <c r="C23" s="55">
        <f t="shared" si="0"/>
        <v>15604</v>
      </c>
      <c r="D23">
        <f t="shared" si="4"/>
        <v>-19</v>
      </c>
      <c r="E23" s="2">
        <f t="shared" si="1"/>
        <v>50950.973934104979</v>
      </c>
      <c r="F23" s="2">
        <f t="shared" si="2"/>
        <v>50950.973934104979</v>
      </c>
      <c r="G23" s="40">
        <f t="shared" si="3"/>
        <v>-19.000000000000057</v>
      </c>
      <c r="I23" s="11"/>
      <c r="J23" s="13"/>
      <c r="K23" s="38"/>
      <c r="L23" s="13"/>
      <c r="M23" s="13">
        <f>M22-273.15</f>
        <v>30.177728554468672</v>
      </c>
      <c r="N23" s="39">
        <f>N22-273.15</f>
        <v>30.184603015988046</v>
      </c>
    </row>
    <row r="24" spans="1:15" x14ac:dyDescent="0.25">
      <c r="A24" s="53">
        <v>0</v>
      </c>
      <c r="B24" s="51">
        <v>19.7</v>
      </c>
      <c r="C24" s="55">
        <f t="shared" si="0"/>
        <v>19700</v>
      </c>
      <c r="D24">
        <f t="shared" si="4"/>
        <v>-18</v>
      </c>
      <c r="E24" s="2">
        <f t="shared" si="1"/>
        <v>48323.567951478806</v>
      </c>
      <c r="F24" s="2">
        <f t="shared" si="2"/>
        <v>48323.567951478806</v>
      </c>
      <c r="G24" s="40">
        <f t="shared" si="3"/>
        <v>-18.000000000000057</v>
      </c>
    </row>
    <row r="25" spans="1:15" x14ac:dyDescent="0.25">
      <c r="A25" s="53">
        <v>-5</v>
      </c>
      <c r="B25" s="51">
        <v>25.05</v>
      </c>
      <c r="C25" s="55">
        <f t="shared" si="0"/>
        <v>25050</v>
      </c>
      <c r="D25">
        <f t="shared" si="4"/>
        <v>-17</v>
      </c>
      <c r="E25" s="2">
        <f t="shared" si="1"/>
        <v>45846.521940228304</v>
      </c>
      <c r="F25" s="2">
        <f t="shared" si="2"/>
        <v>45846.521940228304</v>
      </c>
      <c r="G25" s="40">
        <f t="shared" si="3"/>
        <v>-17</v>
      </c>
    </row>
    <row r="26" spans="1:15" x14ac:dyDescent="0.25">
      <c r="A26" s="53">
        <v>-10</v>
      </c>
      <c r="B26" s="51">
        <v>32.1</v>
      </c>
      <c r="C26" s="55">
        <f t="shared" si="0"/>
        <v>32100</v>
      </c>
      <c r="D26">
        <f t="shared" si="4"/>
        <v>-16</v>
      </c>
      <c r="E26" s="2">
        <f t="shared" si="1"/>
        <v>43510.441865570014</v>
      </c>
      <c r="F26" s="2">
        <f t="shared" si="2"/>
        <v>43510.441865570014</v>
      </c>
      <c r="G26" s="40">
        <f t="shared" si="3"/>
        <v>-16.000000000000057</v>
      </c>
    </row>
    <row r="27" spans="1:15" x14ac:dyDescent="0.25">
      <c r="A27" s="53">
        <v>-15</v>
      </c>
      <c r="B27" s="51">
        <v>41.45</v>
      </c>
      <c r="C27" s="55">
        <f t="shared" si="0"/>
        <v>41450</v>
      </c>
      <c r="D27">
        <f t="shared" si="4"/>
        <v>-15</v>
      </c>
      <c r="E27" s="2">
        <f t="shared" si="1"/>
        <v>41306.567119494153</v>
      </c>
      <c r="F27" s="2">
        <f t="shared" si="2"/>
        <v>41306.567119494153</v>
      </c>
      <c r="G27" s="40">
        <f t="shared" si="3"/>
        <v>-14.999999999999602</v>
      </c>
    </row>
    <row r="28" spans="1:15" x14ac:dyDescent="0.25">
      <c r="A28" s="53">
        <v>-20</v>
      </c>
      <c r="B28" s="51">
        <v>53.92</v>
      </c>
      <c r="C28" s="55">
        <f t="shared" si="0"/>
        <v>53920</v>
      </c>
      <c r="D28">
        <f t="shared" si="4"/>
        <v>-14</v>
      </c>
      <c r="E28" s="2">
        <f t="shared" si="1"/>
        <v>39226.724819151095</v>
      </c>
      <c r="F28" s="2">
        <f t="shared" si="2"/>
        <v>39226.724819151095</v>
      </c>
      <c r="G28" s="40">
        <f t="shared" si="3"/>
        <v>-14.000000000000284</v>
      </c>
    </row>
    <row r="29" spans="1:15" x14ac:dyDescent="0.25">
      <c r="A29" s="53">
        <v>-25</v>
      </c>
      <c r="B29" s="51">
        <v>70.53</v>
      </c>
      <c r="C29" s="55">
        <f t="shared" si="0"/>
        <v>70530</v>
      </c>
      <c r="D29">
        <f t="shared" si="4"/>
        <v>-13</v>
      </c>
      <c r="E29" s="2">
        <f t="shared" si="1"/>
        <v>37263.287609846899</v>
      </c>
      <c r="F29" s="2">
        <f t="shared" si="2"/>
        <v>37263.287609846899</v>
      </c>
      <c r="G29" s="40">
        <f t="shared" si="3"/>
        <v>-13.000000000000057</v>
      </c>
    </row>
    <row r="30" spans="1:15" x14ac:dyDescent="0.25">
      <c r="A30" s="53">
        <v>-30</v>
      </c>
      <c r="B30" s="51">
        <v>93.05</v>
      </c>
      <c r="C30" s="55">
        <f t="shared" si="0"/>
        <v>93050</v>
      </c>
      <c r="D30">
        <f t="shared" si="4"/>
        <v>-12</v>
      </c>
      <c r="E30" s="2">
        <f t="shared" si="1"/>
        <v>35409.134688591701</v>
      </c>
      <c r="F30" s="2">
        <f t="shared" si="2"/>
        <v>35409.134688591701</v>
      </c>
      <c r="G30" s="40">
        <f t="shared" si="3"/>
        <v>-11.999999999999659</v>
      </c>
    </row>
    <row r="31" spans="1:15" x14ac:dyDescent="0.25">
      <c r="A31" s="53">
        <v>-35</v>
      </c>
      <c r="B31" s="51">
        <v>124.24</v>
      </c>
      <c r="C31" s="55">
        <f t="shared" si="0"/>
        <v>124240</v>
      </c>
      <c r="D31">
        <f t="shared" si="4"/>
        <v>-11</v>
      </c>
      <c r="E31" s="2">
        <f t="shared" si="1"/>
        <v>33657.615788284049</v>
      </c>
      <c r="F31" s="2">
        <f t="shared" si="2"/>
        <v>33657.615788284049</v>
      </c>
      <c r="G31" s="40">
        <f t="shared" si="3"/>
        <v>-10.999999999999716</v>
      </c>
    </row>
    <row r="32" spans="1:15" x14ac:dyDescent="0.25">
      <c r="A32" s="56">
        <v>-40</v>
      </c>
      <c r="B32" s="57">
        <v>167.82</v>
      </c>
      <c r="C32" s="58">
        <f t="shared" si="0"/>
        <v>167820</v>
      </c>
      <c r="D32">
        <f t="shared" si="4"/>
        <v>-10</v>
      </c>
      <c r="E32" s="2">
        <f t="shared" si="1"/>
        <v>32002.517884764824</v>
      </c>
      <c r="F32" s="2">
        <f t="shared" si="2"/>
        <v>32002.517884764824</v>
      </c>
      <c r="G32" s="40">
        <f t="shared" si="3"/>
        <v>-9.9999999999999432</v>
      </c>
    </row>
    <row r="33" spans="4:7" x14ac:dyDescent="0.25">
      <c r="D33">
        <f t="shared" si="4"/>
        <v>-9</v>
      </c>
      <c r="E33" s="2">
        <f t="shared" si="1"/>
        <v>30438.034409042022</v>
      </c>
      <c r="F33" s="2">
        <f t="shared" si="2"/>
        <v>30438.034409042022</v>
      </c>
      <c r="G33" s="40">
        <f t="shared" si="3"/>
        <v>-9.0000000000001137</v>
      </c>
    </row>
    <row r="34" spans="4:7" x14ac:dyDescent="0.25">
      <c r="D34">
        <f t="shared" si="4"/>
        <v>-8</v>
      </c>
      <c r="E34" s="2">
        <f t="shared" si="1"/>
        <v>28958.736765315181</v>
      </c>
      <c r="F34" s="2">
        <f t="shared" ref="F34:F65" si="5">E34</f>
        <v>28958.736765315181</v>
      </c>
      <c r="G34" s="40">
        <f t="shared" si="3"/>
        <v>-7.9999999999997726</v>
      </c>
    </row>
    <row r="35" spans="4:7" x14ac:dyDescent="0.25">
      <c r="D35">
        <f t="shared" si="4"/>
        <v>-7</v>
      </c>
      <c r="E35" s="2">
        <f t="shared" si="1"/>
        <v>27559.547972138935</v>
      </c>
      <c r="F35" s="2">
        <f t="shared" si="5"/>
        <v>27559.547972138935</v>
      </c>
      <c r="G35" s="40">
        <f t="shared" si="3"/>
        <v>-7.0000000000001137</v>
      </c>
    </row>
    <row r="36" spans="4:7" x14ac:dyDescent="0.25">
      <c r="D36">
        <f t="shared" si="4"/>
        <v>-6</v>
      </c>
      <c r="E36" s="2">
        <f t="shared" si="1"/>
        <v>26235.718259286805</v>
      </c>
      <c r="F36" s="2">
        <f t="shared" si="5"/>
        <v>26235.718259286805</v>
      </c>
      <c r="G36" s="40">
        <f t="shared" si="3"/>
        <v>-5.9999999999999432</v>
      </c>
    </row>
    <row r="37" spans="4:7" x14ac:dyDescent="0.25">
      <c r="D37">
        <f t="shared" si="4"/>
        <v>-5</v>
      </c>
      <c r="E37" s="2">
        <f t="shared" si="1"/>
        <v>24982.802466813493</v>
      </c>
      <c r="F37" s="2">
        <f t="shared" si="5"/>
        <v>24982.802466813493</v>
      </c>
      <c r="G37" s="40">
        <f t="shared" si="3"/>
        <v>-5.0000000000003411</v>
      </c>
    </row>
    <row r="38" spans="4:7" x14ac:dyDescent="0.25">
      <c r="D38">
        <f t="shared" si="4"/>
        <v>-4</v>
      </c>
      <c r="E38" s="2">
        <f t="shared" si="1"/>
        <v>23796.639105457005</v>
      </c>
      <c r="F38" s="2">
        <f t="shared" si="5"/>
        <v>23796.639105457005</v>
      </c>
      <c r="G38" s="40">
        <f t="shared" si="3"/>
        <v>-3.9999999999998295</v>
      </c>
    </row>
    <row r="39" spans="4:7" x14ac:dyDescent="0.25">
      <c r="D39">
        <f t="shared" si="4"/>
        <v>-3</v>
      </c>
      <c r="E39" s="2">
        <f t="shared" si="1"/>
        <v>22673.330949170169</v>
      </c>
      <c r="F39" s="2">
        <f t="shared" si="5"/>
        <v>22673.330949170169</v>
      </c>
      <c r="G39" s="40">
        <f t="shared" si="3"/>
        <v>-2.9999999999998295</v>
      </c>
    </row>
    <row r="40" spans="4:7" x14ac:dyDescent="0.25">
      <c r="D40">
        <f t="shared" si="4"/>
        <v>-2</v>
      </c>
      <c r="E40" s="2">
        <f t="shared" si="1"/>
        <v>21609.227041103393</v>
      </c>
      <c r="F40" s="2">
        <f t="shared" si="5"/>
        <v>21609.227041103393</v>
      </c>
      <c r="G40" s="40">
        <f t="shared" si="3"/>
        <v>-1.9999999999997726</v>
      </c>
    </row>
    <row r="41" spans="4:7" x14ac:dyDescent="0.25">
      <c r="D41">
        <f t="shared" si="4"/>
        <v>-1</v>
      </c>
      <c r="E41" s="2">
        <f t="shared" si="1"/>
        <v>20600.906004094402</v>
      </c>
      <c r="F41" s="2">
        <f t="shared" si="5"/>
        <v>20600.906004094402</v>
      </c>
      <c r="G41" s="40">
        <f t="shared" si="3"/>
        <v>-0.99999999999977263</v>
      </c>
    </row>
    <row r="42" spans="4:7" x14ac:dyDescent="0.25">
      <c r="D42">
        <f t="shared" si="4"/>
        <v>0</v>
      </c>
      <c r="E42" s="2">
        <f t="shared" si="1"/>
        <v>19645.16055553154</v>
      </c>
      <c r="F42" s="2">
        <f t="shared" si="5"/>
        <v>19645.16055553154</v>
      </c>
      <c r="G42" s="40">
        <f t="shared" si="3"/>
        <v>0</v>
      </c>
    </row>
    <row r="43" spans="4:7" x14ac:dyDescent="0.25">
      <c r="D43">
        <f t="shared" si="4"/>
        <v>1</v>
      </c>
      <c r="E43" s="2">
        <f t="shared" si="1"/>
        <v>18738.983134575516</v>
      </c>
      <c r="F43" s="2">
        <f t="shared" si="5"/>
        <v>18738.983134575516</v>
      </c>
      <c r="G43" s="40">
        <f t="shared" si="3"/>
        <v>0.99999999999988631</v>
      </c>
    </row>
    <row r="44" spans="4:7" x14ac:dyDescent="0.25">
      <c r="D44">
        <f t="shared" si="4"/>
        <v>2</v>
      </c>
      <c r="E44" s="2">
        <f t="shared" si="1"/>
        <v>17879.552557127023</v>
      </c>
      <c r="F44" s="2">
        <f t="shared" si="5"/>
        <v>17879.552557127023</v>
      </c>
      <c r="G44" s="40">
        <f t="shared" si="3"/>
        <v>2</v>
      </c>
    </row>
    <row r="45" spans="4:7" x14ac:dyDescent="0.25">
      <c r="D45">
        <f t="shared" si="4"/>
        <v>3</v>
      </c>
      <c r="E45" s="2">
        <f t="shared" si="1"/>
        <v>17064.221620710396</v>
      </c>
      <c r="F45" s="2">
        <f t="shared" si="5"/>
        <v>17064.221620710396</v>
      </c>
      <c r="G45" s="40">
        <f t="shared" si="3"/>
        <v>3.0000000000003979</v>
      </c>
    </row>
    <row r="46" spans="4:7" x14ac:dyDescent="0.25">
      <c r="D46">
        <f t="shared" si="4"/>
        <v>4</v>
      </c>
      <c r="E46" s="2">
        <f t="shared" si="1"/>
        <v>16290.505587658608</v>
      </c>
      <c r="F46" s="2">
        <f t="shared" si="5"/>
        <v>16290.505587658608</v>
      </c>
      <c r="G46" s="40">
        <f t="shared" si="3"/>
        <v>4</v>
      </c>
    </row>
    <row r="47" spans="4:7" x14ac:dyDescent="0.25">
      <c r="D47">
        <f t="shared" si="4"/>
        <v>5</v>
      </c>
      <c r="E47" s="2">
        <f t="shared" si="1"/>
        <v>15556.071480669829</v>
      </c>
      <c r="F47" s="2">
        <f t="shared" si="5"/>
        <v>15556.071480669829</v>
      </c>
      <c r="G47" s="40">
        <f t="shared" si="3"/>
        <v>4.9999999999998295</v>
      </c>
    </row>
    <row r="48" spans="4:7" x14ac:dyDescent="0.25">
      <c r="D48">
        <f t="shared" si="4"/>
        <v>6</v>
      </c>
      <c r="E48" s="2">
        <f t="shared" si="1"/>
        <v>14858.728130036452</v>
      </c>
      <c r="F48" s="2">
        <f t="shared" si="5"/>
        <v>14858.728130036452</v>
      </c>
      <c r="G48" s="40">
        <f t="shared" si="3"/>
        <v>5.9999999999998295</v>
      </c>
    </row>
    <row r="49" spans="4:7" x14ac:dyDescent="0.25">
      <c r="D49">
        <f t="shared" si="4"/>
        <v>7</v>
      </c>
      <c r="E49" s="2">
        <f t="shared" si="1"/>
        <v>14196.416916613594</v>
      </c>
      <c r="F49" s="2">
        <f t="shared" si="5"/>
        <v>14196.416916613594</v>
      </c>
      <c r="G49" s="40">
        <f t="shared" si="3"/>
        <v>6.9999999999998863</v>
      </c>
    </row>
    <row r="50" spans="4:7" x14ac:dyDescent="0.25">
      <c r="D50">
        <f t="shared" si="4"/>
        <v>8</v>
      </c>
      <c r="E50" s="2">
        <f t="shared" si="1"/>
        <v>13567.203158992852</v>
      </c>
      <c r="F50" s="2">
        <f t="shared" si="5"/>
        <v>13567.203158992852</v>
      </c>
      <c r="G50" s="40">
        <f t="shared" si="3"/>
        <v>8.0000000000002842</v>
      </c>
    </row>
    <row r="51" spans="4:7" x14ac:dyDescent="0.25">
      <c r="D51">
        <f t="shared" si="4"/>
        <v>9</v>
      </c>
      <c r="E51" s="2">
        <f t="shared" si="1"/>
        <v>12969.268097371763</v>
      </c>
      <c r="F51" s="2">
        <f t="shared" si="5"/>
        <v>12969.268097371763</v>
      </c>
      <c r="G51" s="40">
        <f t="shared" si="3"/>
        <v>8.9999999999997158</v>
      </c>
    </row>
    <row r="52" spans="4:7" x14ac:dyDescent="0.25">
      <c r="D52">
        <f t="shared" si="4"/>
        <v>10</v>
      </c>
      <c r="E52" s="2">
        <f t="shared" si="1"/>
        <v>12400.901430297481</v>
      </c>
      <c r="F52" s="2">
        <f t="shared" si="5"/>
        <v>12400.901430297481</v>
      </c>
      <c r="G52" s="40">
        <f t="shared" si="3"/>
        <v>10.000000000000057</v>
      </c>
    </row>
    <row r="53" spans="4:7" x14ac:dyDescent="0.25">
      <c r="D53">
        <f t="shared" si="4"/>
        <v>11</v>
      </c>
      <c r="E53" s="2">
        <f t="shared" si="1"/>
        <v>11860.494363873044</v>
      </c>
      <c r="F53" s="2">
        <f t="shared" si="5"/>
        <v>11860.494363873044</v>
      </c>
      <c r="G53" s="40">
        <f t="shared" si="3"/>
        <v>11.000000000000171</v>
      </c>
    </row>
    <row r="54" spans="4:7" x14ac:dyDescent="0.25">
      <c r="D54">
        <f t="shared" si="4"/>
        <v>12</v>
      </c>
      <c r="E54" s="2">
        <f t="shared" si="1"/>
        <v>11346.533136109498</v>
      </c>
      <c r="F54" s="2">
        <f t="shared" si="5"/>
        <v>11346.533136109498</v>
      </c>
      <c r="G54" s="40">
        <f t="shared" si="3"/>
        <v>12.000000000000455</v>
      </c>
    </row>
    <row r="55" spans="4:7" x14ac:dyDescent="0.25">
      <c r="D55">
        <f t="shared" si="4"/>
        <v>13</v>
      </c>
      <c r="E55" s="2">
        <f t="shared" si="1"/>
        <v>10857.592981994168</v>
      </c>
      <c r="F55" s="2">
        <f t="shared" si="5"/>
        <v>10857.592981994168</v>
      </c>
      <c r="G55" s="40">
        <f t="shared" si="3"/>
        <v>13.000000000000227</v>
      </c>
    </row>
    <row r="56" spans="4:7" x14ac:dyDescent="0.25">
      <c r="D56">
        <f t="shared" si="4"/>
        <v>14</v>
      </c>
      <c r="E56" s="2">
        <f t="shared" si="1"/>
        <v>10392.332507463245</v>
      </c>
      <c r="F56" s="2">
        <f t="shared" si="5"/>
        <v>10392.332507463245</v>
      </c>
      <c r="G56" s="40">
        <f t="shared" si="3"/>
        <v>14.000000000000284</v>
      </c>
    </row>
    <row r="57" spans="4:7" x14ac:dyDescent="0.25">
      <c r="D57">
        <f t="shared" si="4"/>
        <v>15</v>
      </c>
      <c r="E57" s="2">
        <f t="shared" si="1"/>
        <v>9949.4884429000867</v>
      </c>
      <c r="F57" s="2">
        <f t="shared" si="5"/>
        <v>9949.4884429000867</v>
      </c>
      <c r="G57" s="40">
        <f t="shared" si="3"/>
        <v>14.999999999999829</v>
      </c>
    </row>
    <row r="58" spans="4:7" x14ac:dyDescent="0.25">
      <c r="D58">
        <f t="shared" si="4"/>
        <v>16</v>
      </c>
      <c r="E58" s="2">
        <f t="shared" si="1"/>
        <v>9527.8707489982862</v>
      </c>
      <c r="F58" s="2">
        <f t="shared" si="5"/>
        <v>9527.8707489982862</v>
      </c>
      <c r="G58" s="40">
        <f t="shared" si="3"/>
        <v>16.000000000000284</v>
      </c>
    </row>
    <row r="59" spans="4:7" x14ac:dyDescent="0.25">
      <c r="D59">
        <f t="shared" si="4"/>
        <v>17</v>
      </c>
      <c r="E59" s="2">
        <f t="shared" si="1"/>
        <v>9126.3580498919673</v>
      </c>
      <c r="F59" s="2">
        <f t="shared" si="5"/>
        <v>9126.3580498919673</v>
      </c>
      <c r="G59" s="40">
        <f t="shared" si="3"/>
        <v>16.999999999999659</v>
      </c>
    </row>
    <row r="60" spans="4:7" x14ac:dyDescent="0.25">
      <c r="D60">
        <f t="shared" si="4"/>
        <v>18</v>
      </c>
      <c r="E60" s="2">
        <f t="shared" si="1"/>
        <v>8743.8933703269977</v>
      </c>
      <c r="F60" s="2">
        <f t="shared" si="5"/>
        <v>8743.8933703269977</v>
      </c>
      <c r="G60" s="40">
        <f t="shared" si="3"/>
        <v>18.000000000000227</v>
      </c>
    </row>
    <row r="61" spans="4:7" x14ac:dyDescent="0.25">
      <c r="D61">
        <f t="shared" si="4"/>
        <v>19</v>
      </c>
      <c r="E61" s="2">
        <f t="shared" si="1"/>
        <v>8379.4801554076494</v>
      </c>
      <c r="F61" s="2">
        <f t="shared" si="5"/>
        <v>8379.4801554076494</v>
      </c>
      <c r="G61" s="40">
        <f t="shared" si="3"/>
        <v>18.999999999999545</v>
      </c>
    </row>
    <row r="62" spans="4:7" x14ac:dyDescent="0.25">
      <c r="D62">
        <f t="shared" si="4"/>
        <v>20</v>
      </c>
      <c r="E62" s="2">
        <f t="shared" si="1"/>
        <v>8032.1785530279985</v>
      </c>
      <c r="F62" s="2">
        <f t="shared" si="5"/>
        <v>8032.1785530279985</v>
      </c>
      <c r="G62" s="40">
        <f t="shared" si="3"/>
        <v>20</v>
      </c>
    </row>
    <row r="63" spans="4:7" x14ac:dyDescent="0.25">
      <c r="D63">
        <f t="shared" si="4"/>
        <v>21</v>
      </c>
      <c r="E63" s="2">
        <f t="shared" si="1"/>
        <v>7701.1019406027253</v>
      </c>
      <c r="F63" s="2">
        <f t="shared" si="5"/>
        <v>7701.1019406027253</v>
      </c>
      <c r="G63" s="40">
        <f t="shared" si="3"/>
        <v>21.000000000000057</v>
      </c>
    </row>
    <row r="64" spans="4:7" x14ac:dyDescent="0.25">
      <c r="D64">
        <f t="shared" si="4"/>
        <v>22</v>
      </c>
      <c r="E64" s="2">
        <f t="shared" si="1"/>
        <v>7385.4136790454813</v>
      </c>
      <c r="F64" s="2">
        <f t="shared" si="5"/>
        <v>7385.4136790454813</v>
      </c>
      <c r="G64" s="40">
        <f t="shared" si="3"/>
        <v>21.999999999999943</v>
      </c>
    </row>
    <row r="65" spans="4:7" x14ac:dyDescent="0.25">
      <c r="D65">
        <f t="shared" si="4"/>
        <v>23</v>
      </c>
      <c r="E65" s="2">
        <f t="shared" si="1"/>
        <v>7084.3240782191751</v>
      </c>
      <c r="F65" s="2">
        <f t="shared" si="5"/>
        <v>7084.3240782191751</v>
      </c>
      <c r="G65" s="40">
        <f t="shared" si="3"/>
        <v>23.000000000000171</v>
      </c>
    </row>
    <row r="66" spans="4:7" x14ac:dyDescent="0.25">
      <c r="D66">
        <f t="shared" si="4"/>
        <v>24</v>
      </c>
      <c r="E66" s="2">
        <f t="shared" ref="E66:E129" si="6">EXP(((SQRT(($J$13/(3*$J$14))^3+((($J$12-(1/(D66+273.15)))/$J$14)^2)/4))-((($J$12-(1/(D66+273.15)))/$J$14)/2))^(1/3)-((SQRT(($J$13/(3*$J$14))^3+((($J$12-(1/(D66+273.15)))/$J$14)^2)/4))+((($J$12-(1/(D66+273.15)))/$J$14)/2))^(1/3))</f>
        <v>6797.0875592290167</v>
      </c>
      <c r="F66" s="2">
        <f t="shared" ref="F66:F97" si="7">E66</f>
        <v>6797.0875592290167</v>
      </c>
      <c r="G66" s="40">
        <f t="shared" ref="G66:G129" si="8">1/($J$12+$J$13*LN(F66)+$J$14*(LN(F66))^3)-273.15</f>
        <v>24.000000000000227</v>
      </c>
    </row>
    <row r="67" spans="4:7" x14ac:dyDescent="0.25">
      <c r="D67">
        <f t="shared" si="4"/>
        <v>25</v>
      </c>
      <c r="E67" s="2">
        <f t="shared" si="6"/>
        <v>6523.0000000000609</v>
      </c>
      <c r="F67" s="2">
        <f t="shared" si="7"/>
        <v>6523.0000000000609</v>
      </c>
      <c r="G67" s="40">
        <f t="shared" si="8"/>
        <v>24.999999999999773</v>
      </c>
    </row>
    <row r="68" spans="4:7" x14ac:dyDescent="0.25">
      <c r="D68">
        <f t="shared" ref="D68:D131" si="9">D67+1</f>
        <v>26</v>
      </c>
      <c r="E68" s="2">
        <f t="shared" si="6"/>
        <v>6261.3962515689855</v>
      </c>
      <c r="F68" s="2">
        <f t="shared" si="7"/>
        <v>6261.3962515689855</v>
      </c>
      <c r="G68" s="40">
        <f t="shared" si="8"/>
        <v>25.999999999999943</v>
      </c>
    </row>
    <row r="69" spans="4:7" x14ac:dyDescent="0.25">
      <c r="D69">
        <f t="shared" si="9"/>
        <v>27</v>
      </c>
      <c r="E69" s="2">
        <f t="shared" si="6"/>
        <v>6011.6478134309546</v>
      </c>
      <c r="F69" s="2">
        <f t="shared" si="7"/>
        <v>6011.6478134309546</v>
      </c>
      <c r="G69" s="40">
        <f t="shared" si="8"/>
        <v>27.000000000000227</v>
      </c>
    </row>
    <row r="70" spans="4:7" x14ac:dyDescent="0.25">
      <c r="D70">
        <f t="shared" si="9"/>
        <v>28</v>
      </c>
      <c r="E70" s="2">
        <f t="shared" si="6"/>
        <v>5773.1606571202065</v>
      </c>
      <c r="F70" s="2">
        <f t="shared" si="7"/>
        <v>5773.1606571202065</v>
      </c>
      <c r="G70" s="40">
        <f t="shared" si="8"/>
        <v>28.000000000000171</v>
      </c>
    </row>
    <row r="71" spans="4:7" x14ac:dyDescent="0.25">
      <c r="D71">
        <f t="shared" si="9"/>
        <v>29</v>
      </c>
      <c r="E71" s="2">
        <f t="shared" si="6"/>
        <v>5545.3731879850129</v>
      </c>
      <c r="F71" s="2">
        <f t="shared" si="7"/>
        <v>5545.3731879850129</v>
      </c>
      <c r="G71" s="40">
        <f t="shared" si="8"/>
        <v>28.999999999999886</v>
      </c>
    </row>
    <row r="72" spans="4:7" x14ac:dyDescent="0.25">
      <c r="D72">
        <f t="shared" si="9"/>
        <v>30</v>
      </c>
      <c r="E72" s="2">
        <f t="shared" si="6"/>
        <v>5327.7543358344401</v>
      </c>
      <c r="F72" s="2">
        <f t="shared" si="7"/>
        <v>5327.7543358344401</v>
      </c>
      <c r="G72" s="40">
        <f t="shared" si="8"/>
        <v>29.999999999999829</v>
      </c>
    </row>
    <row r="73" spans="4:7" x14ac:dyDescent="0.25">
      <c r="D73">
        <f t="shared" si="9"/>
        <v>31</v>
      </c>
      <c r="E73" s="2">
        <f t="shared" si="6"/>
        <v>5119.8017657990304</v>
      </c>
      <c r="F73" s="2">
        <f t="shared" si="7"/>
        <v>5119.8017657990304</v>
      </c>
      <c r="G73" s="40">
        <f t="shared" si="8"/>
        <v>31.000000000000114</v>
      </c>
    </row>
    <row r="74" spans="4:7" x14ac:dyDescent="0.25">
      <c r="D74">
        <f t="shared" si="9"/>
        <v>32</v>
      </c>
      <c r="E74" s="2">
        <f t="shared" si="6"/>
        <v>4921.0402013624143</v>
      </c>
      <c r="F74" s="2">
        <f t="shared" si="7"/>
        <v>4921.0402013624143</v>
      </c>
      <c r="G74" s="40">
        <f t="shared" si="8"/>
        <v>31.999999999999829</v>
      </c>
    </row>
    <row r="75" spans="4:7" x14ac:dyDescent="0.25">
      <c r="D75">
        <f t="shared" si="9"/>
        <v>33</v>
      </c>
      <c r="E75" s="2">
        <f t="shared" si="6"/>
        <v>4731.0198520890344</v>
      </c>
      <c r="F75" s="2">
        <f t="shared" si="7"/>
        <v>4731.0198520890344</v>
      </c>
      <c r="G75" s="40">
        <f t="shared" si="8"/>
        <v>33.000000000000227</v>
      </c>
    </row>
    <row r="76" spans="4:7" x14ac:dyDescent="0.25">
      <c r="D76">
        <f t="shared" si="9"/>
        <v>34</v>
      </c>
      <c r="E76" s="2">
        <f t="shared" si="6"/>
        <v>4549.3149391028119</v>
      </c>
      <c r="F76" s="2">
        <f t="shared" si="7"/>
        <v>4549.3149391028119</v>
      </c>
      <c r="G76" s="40">
        <f t="shared" si="8"/>
        <v>34.000000000000114</v>
      </c>
    </row>
    <row r="77" spans="4:7" x14ac:dyDescent="0.25">
      <c r="D77">
        <f t="shared" si="9"/>
        <v>35</v>
      </c>
      <c r="E77" s="2">
        <f t="shared" si="6"/>
        <v>4375.5223118531749</v>
      </c>
      <c r="F77" s="2">
        <f t="shared" si="7"/>
        <v>4375.5223118531749</v>
      </c>
      <c r="G77" s="40">
        <f t="shared" si="8"/>
        <v>34.999999999999886</v>
      </c>
    </row>
    <row r="78" spans="4:7" x14ac:dyDescent="0.25">
      <c r="D78">
        <f t="shared" si="9"/>
        <v>36</v>
      </c>
      <c r="E78" s="2">
        <f t="shared" si="6"/>
        <v>4209.2601501627096</v>
      </c>
      <c r="F78" s="2">
        <f t="shared" si="7"/>
        <v>4209.2601501627096</v>
      </c>
      <c r="G78" s="40">
        <f t="shared" si="8"/>
        <v>36.000000000000057</v>
      </c>
    </row>
    <row r="79" spans="4:7" x14ac:dyDescent="0.25">
      <c r="D79">
        <f t="shared" si="9"/>
        <v>37</v>
      </c>
      <c r="E79" s="2">
        <f t="shared" si="6"/>
        <v>4050.1667459648602</v>
      </c>
      <c r="F79" s="2">
        <f t="shared" si="7"/>
        <v>4050.1667459648602</v>
      </c>
      <c r="G79" s="40">
        <f t="shared" si="8"/>
        <v>37.000000000000114</v>
      </c>
    </row>
    <row r="80" spans="4:7" x14ac:dyDescent="0.25">
      <c r="D80">
        <f t="shared" si="9"/>
        <v>38</v>
      </c>
      <c r="E80" s="2">
        <f t="shared" si="6"/>
        <v>3897.8993595282977</v>
      </c>
      <c r="F80" s="2">
        <f t="shared" si="7"/>
        <v>3897.8993595282977</v>
      </c>
      <c r="G80" s="40">
        <f t="shared" si="8"/>
        <v>38.000000000000114</v>
      </c>
    </row>
    <row r="81" spans="4:7" x14ac:dyDescent="0.25">
      <c r="D81">
        <f t="shared" si="9"/>
        <v>39</v>
      </c>
      <c r="E81" s="2">
        <f t="shared" si="6"/>
        <v>3752.1331453254729</v>
      </c>
      <c r="F81" s="2">
        <f t="shared" si="7"/>
        <v>3752.1331453254729</v>
      </c>
      <c r="G81" s="40">
        <f t="shared" si="8"/>
        <v>38.999999999999716</v>
      </c>
    </row>
    <row r="82" spans="4:7" x14ac:dyDescent="0.25">
      <c r="D82">
        <f t="shared" si="9"/>
        <v>40</v>
      </c>
      <c r="E82" s="2">
        <f t="shared" si="6"/>
        <v>3612.5601430340525</v>
      </c>
      <c r="F82" s="2">
        <f t="shared" si="7"/>
        <v>3612.5601430340525</v>
      </c>
      <c r="G82" s="40">
        <f t="shared" si="8"/>
        <v>40.000000000000114</v>
      </c>
    </row>
    <row r="83" spans="4:7" x14ac:dyDescent="0.25">
      <c r="D83">
        <f t="shared" si="9"/>
        <v>41</v>
      </c>
      <c r="E83" s="2">
        <f t="shared" si="6"/>
        <v>3478.8883294711727</v>
      </c>
      <c r="F83" s="2">
        <f t="shared" si="7"/>
        <v>3478.8883294711727</v>
      </c>
      <c r="G83" s="40">
        <f t="shared" si="8"/>
        <v>41.000000000000057</v>
      </c>
    </row>
    <row r="84" spans="4:7" x14ac:dyDescent="0.25">
      <c r="D84">
        <f t="shared" si="9"/>
        <v>42</v>
      </c>
      <c r="E84" s="2">
        <f t="shared" si="6"/>
        <v>3350.8407275437912</v>
      </c>
      <c r="F84" s="2">
        <f t="shared" si="7"/>
        <v>3350.8407275437912</v>
      </c>
      <c r="G84" s="40">
        <f t="shared" si="8"/>
        <v>42.000000000000398</v>
      </c>
    </row>
    <row r="85" spans="4:7" x14ac:dyDescent="0.25">
      <c r="D85">
        <f t="shared" si="9"/>
        <v>43</v>
      </c>
      <c r="E85" s="2">
        <f t="shared" si="6"/>
        <v>3228.154568569204</v>
      </c>
      <c r="F85" s="2">
        <f t="shared" si="7"/>
        <v>3228.154568569204</v>
      </c>
      <c r="G85" s="40">
        <f t="shared" si="8"/>
        <v>42.999999999999773</v>
      </c>
    </row>
    <row r="86" spans="4:7" x14ac:dyDescent="0.25">
      <c r="D86">
        <f t="shared" si="9"/>
        <v>44</v>
      </c>
      <c r="E86" s="2">
        <f t="shared" si="6"/>
        <v>3110.580504561638</v>
      </c>
      <c r="F86" s="2">
        <f t="shared" si="7"/>
        <v>3110.580504561638</v>
      </c>
      <c r="G86" s="40">
        <f t="shared" si="8"/>
        <v>44.000000000000057</v>
      </c>
    </row>
    <row r="87" spans="4:7" x14ac:dyDescent="0.25">
      <c r="D87">
        <f t="shared" si="9"/>
        <v>45</v>
      </c>
      <c r="E87" s="2">
        <f t="shared" si="6"/>
        <v>2997.8818673157725</v>
      </c>
      <c r="F87" s="2">
        <f t="shared" si="7"/>
        <v>2997.8818673157725</v>
      </c>
      <c r="G87" s="40">
        <f t="shared" si="8"/>
        <v>45.000000000000114</v>
      </c>
    </row>
    <row r="88" spans="4:7" x14ac:dyDescent="0.25">
      <c r="D88">
        <f t="shared" si="9"/>
        <v>46</v>
      </c>
      <c r="E88" s="2">
        <f t="shared" si="6"/>
        <v>2889.8339713254709</v>
      </c>
      <c r="F88" s="2">
        <f t="shared" si="7"/>
        <v>2889.8339713254709</v>
      </c>
      <c r="G88" s="40">
        <f t="shared" si="8"/>
        <v>46.000000000000114</v>
      </c>
    </row>
    <row r="89" spans="4:7" x14ac:dyDescent="0.25">
      <c r="D89">
        <f t="shared" si="9"/>
        <v>47</v>
      </c>
      <c r="E89" s="2">
        <f t="shared" si="6"/>
        <v>2786.2234577790259</v>
      </c>
      <c r="F89" s="2">
        <f t="shared" si="7"/>
        <v>2786.2234577790259</v>
      </c>
      <c r="G89" s="40">
        <f t="shared" si="8"/>
        <v>47</v>
      </c>
    </row>
    <row r="90" spans="4:7" x14ac:dyDescent="0.25">
      <c r="D90">
        <f t="shared" si="9"/>
        <v>48</v>
      </c>
      <c r="E90" s="2">
        <f t="shared" si="6"/>
        <v>2686.8476770531515</v>
      </c>
      <c r="F90" s="2">
        <f t="shared" si="7"/>
        <v>2686.8476770531515</v>
      </c>
      <c r="G90" s="40">
        <f t="shared" si="8"/>
        <v>47.999999999999545</v>
      </c>
    </row>
    <row r="91" spans="4:7" x14ac:dyDescent="0.25">
      <c r="D91">
        <f t="shared" si="9"/>
        <v>49</v>
      </c>
      <c r="E91" s="2">
        <f t="shared" si="6"/>
        <v>2591.5141073002278</v>
      </c>
      <c r="F91" s="2">
        <f t="shared" si="7"/>
        <v>2591.5141073002278</v>
      </c>
      <c r="G91" s="40">
        <f t="shared" si="8"/>
        <v>48.999999999999602</v>
      </c>
    </row>
    <row r="92" spans="4:7" x14ac:dyDescent="0.25">
      <c r="D92">
        <f t="shared" si="9"/>
        <v>50</v>
      </c>
      <c r="E92" s="2">
        <f t="shared" si="6"/>
        <v>2500.0398068828172</v>
      </c>
      <c r="F92" s="2">
        <f t="shared" si="7"/>
        <v>2500.0398068828172</v>
      </c>
      <c r="G92" s="40">
        <f t="shared" si="8"/>
        <v>49.999999999999943</v>
      </c>
    </row>
    <row r="93" spans="4:7" x14ac:dyDescent="0.25">
      <c r="D93">
        <f t="shared" si="9"/>
        <v>51</v>
      </c>
      <c r="E93" s="2">
        <f t="shared" si="6"/>
        <v>2412.2508985564168</v>
      </c>
      <c r="F93" s="2">
        <f t="shared" si="7"/>
        <v>2412.2508985564168</v>
      </c>
      <c r="G93" s="40">
        <f t="shared" si="8"/>
        <v>51.000000000000284</v>
      </c>
    </row>
    <row r="94" spans="4:7" x14ac:dyDescent="0.25">
      <c r="D94">
        <f t="shared" si="9"/>
        <v>52</v>
      </c>
      <c r="E94" s="2">
        <f t="shared" si="6"/>
        <v>2327.982083440279</v>
      </c>
      <c r="F94" s="2">
        <f t="shared" si="7"/>
        <v>2327.982083440279</v>
      </c>
      <c r="G94" s="40">
        <f t="shared" si="8"/>
        <v>51.999999999999432</v>
      </c>
    </row>
    <row r="95" spans="4:7" x14ac:dyDescent="0.25">
      <c r="D95">
        <f t="shared" si="9"/>
        <v>53</v>
      </c>
      <c r="E95" s="2">
        <f t="shared" si="6"/>
        <v>2247.0761829433909</v>
      </c>
      <c r="F95" s="2">
        <f t="shared" si="7"/>
        <v>2247.0761829433909</v>
      </c>
      <c r="G95" s="40">
        <f t="shared" si="8"/>
        <v>52.999999999999829</v>
      </c>
    </row>
    <row r="96" spans="4:7" x14ac:dyDescent="0.25">
      <c r="D96">
        <f t="shared" si="9"/>
        <v>54</v>
      </c>
      <c r="E96" s="2">
        <f t="shared" si="6"/>
        <v>2169.3837069339925</v>
      </c>
      <c r="F96" s="2">
        <f t="shared" si="7"/>
        <v>2169.3837069339925</v>
      </c>
      <c r="G96" s="40">
        <f t="shared" si="8"/>
        <v>53.999999999999602</v>
      </c>
    </row>
    <row r="97" spans="4:7" x14ac:dyDescent="0.25">
      <c r="D97">
        <f t="shared" si="9"/>
        <v>55</v>
      </c>
      <c r="E97" s="2">
        <f t="shared" si="6"/>
        <v>2094.7624465487133</v>
      </c>
      <c r="F97" s="2">
        <f t="shared" si="7"/>
        <v>2094.7624465487133</v>
      </c>
      <c r="G97" s="40">
        <f t="shared" si="8"/>
        <v>55.000000000000114</v>
      </c>
    </row>
    <row r="98" spans="4:7" x14ac:dyDescent="0.25">
      <c r="D98">
        <f t="shared" si="9"/>
        <v>56</v>
      </c>
      <c r="E98" s="2">
        <f t="shared" si="6"/>
        <v>2023.0770901452959</v>
      </c>
      <c r="F98" s="2">
        <f t="shared" ref="F98:F129" si="10">E98</f>
        <v>2023.0770901452959</v>
      </c>
      <c r="G98" s="40">
        <f t="shared" si="8"/>
        <v>55.999999999999773</v>
      </c>
    </row>
    <row r="99" spans="4:7" x14ac:dyDescent="0.25">
      <c r="D99">
        <f t="shared" si="9"/>
        <v>57</v>
      </c>
      <c r="E99" s="2">
        <f t="shared" si="6"/>
        <v>1954.1988609953914</v>
      </c>
      <c r="F99" s="2">
        <f t="shared" si="10"/>
        <v>1954.1988609953914</v>
      </c>
      <c r="G99" s="40">
        <f t="shared" si="8"/>
        <v>56.999999999999829</v>
      </c>
    </row>
    <row r="100" spans="4:7" x14ac:dyDescent="0.25">
      <c r="D100">
        <f t="shared" si="9"/>
        <v>58</v>
      </c>
      <c r="E100" s="2">
        <f t="shared" si="6"/>
        <v>1888.0051754072908</v>
      </c>
      <c r="F100" s="2">
        <f t="shared" si="10"/>
        <v>1888.0051754072908</v>
      </c>
      <c r="G100" s="40">
        <f t="shared" si="8"/>
        <v>57.999999999999602</v>
      </c>
    </row>
    <row r="101" spans="4:7" x14ac:dyDescent="0.25">
      <c r="D101">
        <f t="shared" si="9"/>
        <v>59</v>
      </c>
      <c r="E101" s="2">
        <f t="shared" si="6"/>
        <v>1824.379320049396</v>
      </c>
      <c r="F101" s="2">
        <f t="shared" si="10"/>
        <v>1824.379320049396</v>
      </c>
      <c r="G101" s="40">
        <f t="shared" si="8"/>
        <v>59.000000000000455</v>
      </c>
    </row>
    <row r="102" spans="4:7" x14ac:dyDescent="0.25">
      <c r="D102">
        <f t="shared" si="9"/>
        <v>60</v>
      </c>
      <c r="E102" s="2">
        <f t="shared" si="6"/>
        <v>1763.2101473259625</v>
      </c>
      <c r="F102" s="2">
        <f t="shared" si="10"/>
        <v>1763.2101473259625</v>
      </c>
      <c r="G102" s="40">
        <f t="shared" si="8"/>
        <v>60.000000000000455</v>
      </c>
    </row>
    <row r="103" spans="4:7" x14ac:dyDescent="0.25">
      <c r="D103">
        <f t="shared" si="9"/>
        <v>61</v>
      </c>
      <c r="E103" s="2">
        <f t="shared" si="6"/>
        <v>1704.3917877272281</v>
      </c>
      <c r="F103" s="2">
        <f t="shared" si="10"/>
        <v>1704.3917877272281</v>
      </c>
      <c r="G103" s="40">
        <f t="shared" si="8"/>
        <v>61.000000000000284</v>
      </c>
    </row>
    <row r="104" spans="4:7" x14ac:dyDescent="0.25">
      <c r="D104">
        <f t="shared" si="9"/>
        <v>62</v>
      </c>
      <c r="E104" s="2">
        <f t="shared" si="6"/>
        <v>1647.8233781464971</v>
      </c>
      <c r="F104" s="2">
        <f t="shared" si="10"/>
        <v>1647.8233781464971</v>
      </c>
      <c r="G104" s="40">
        <f t="shared" si="8"/>
        <v>61.999999999999773</v>
      </c>
    </row>
    <row r="105" spans="4:7" x14ac:dyDescent="0.25">
      <c r="D105">
        <f t="shared" si="9"/>
        <v>63</v>
      </c>
      <c r="E105" s="2">
        <f t="shared" si="6"/>
        <v>1593.4088052182681</v>
      </c>
      <c r="F105" s="2">
        <f t="shared" si="10"/>
        <v>1593.4088052182681</v>
      </c>
      <c r="G105" s="40">
        <f t="shared" si="8"/>
        <v>62.999999999999829</v>
      </c>
    </row>
    <row r="106" spans="4:7" x14ac:dyDescent="0.25">
      <c r="D106">
        <f t="shared" si="9"/>
        <v>64</v>
      </c>
      <c r="E106" s="2">
        <f t="shared" si="6"/>
        <v>1541.0564627922179</v>
      </c>
      <c r="F106" s="2">
        <f t="shared" si="10"/>
        <v>1541.0564627922179</v>
      </c>
      <c r="G106" s="40">
        <f t="shared" si="8"/>
        <v>64.000000000000171</v>
      </c>
    </row>
    <row r="107" spans="4:7" x14ac:dyDescent="0.25">
      <c r="D107">
        <f t="shared" si="9"/>
        <v>65</v>
      </c>
      <c r="E107" s="2">
        <f t="shared" si="6"/>
        <v>1490.679022712189</v>
      </c>
      <c r="F107" s="2">
        <f t="shared" si="10"/>
        <v>1490.679022712189</v>
      </c>
      <c r="G107" s="40">
        <f t="shared" si="8"/>
        <v>65.000000000000398</v>
      </c>
    </row>
    <row r="108" spans="4:7" x14ac:dyDescent="0.25">
      <c r="D108">
        <f t="shared" si="9"/>
        <v>66</v>
      </c>
      <c r="E108" s="2">
        <f t="shared" si="6"/>
        <v>1442.1932181218222</v>
      </c>
      <c r="F108" s="2">
        <f t="shared" si="10"/>
        <v>1442.1932181218222</v>
      </c>
      <c r="G108" s="40">
        <f t="shared" si="8"/>
        <v>66.000000000000398</v>
      </c>
    </row>
    <row r="109" spans="4:7" x14ac:dyDescent="0.25">
      <c r="D109">
        <f t="shared" si="9"/>
        <v>67</v>
      </c>
      <c r="E109" s="2">
        <f t="shared" si="6"/>
        <v>1395.5196385664576</v>
      </c>
      <c r="F109" s="2">
        <f t="shared" si="10"/>
        <v>1395.5196385664576</v>
      </c>
      <c r="G109" s="40">
        <f t="shared" si="8"/>
        <v>66.999999999999773</v>
      </c>
    </row>
    <row r="110" spans="4:7" x14ac:dyDescent="0.25">
      <c r="D110">
        <f t="shared" si="9"/>
        <v>68</v>
      </c>
      <c r="E110" s="2">
        <f t="shared" si="6"/>
        <v>1350.5825362060691</v>
      </c>
      <c r="F110" s="2">
        <f t="shared" si="10"/>
        <v>1350.5825362060691</v>
      </c>
      <c r="G110" s="40">
        <f t="shared" si="8"/>
        <v>67.999999999999886</v>
      </c>
    </row>
    <row r="111" spans="4:7" x14ac:dyDescent="0.25">
      <c r="D111">
        <f t="shared" si="9"/>
        <v>69</v>
      </c>
      <c r="E111" s="2">
        <f t="shared" si="6"/>
        <v>1307.3096424965545</v>
      </c>
      <c r="F111" s="2">
        <f t="shared" si="10"/>
        <v>1307.3096424965545</v>
      </c>
      <c r="G111" s="40">
        <f t="shared" si="8"/>
        <v>68.999999999999773</v>
      </c>
    </row>
    <row r="112" spans="4:7" x14ac:dyDescent="0.25">
      <c r="D112">
        <f t="shared" si="9"/>
        <v>70</v>
      </c>
      <c r="E112" s="2">
        <f t="shared" si="6"/>
        <v>1265.6319947354118</v>
      </c>
      <c r="F112" s="2">
        <f t="shared" si="10"/>
        <v>1265.6319947354118</v>
      </c>
      <c r="G112" s="40">
        <f t="shared" si="8"/>
        <v>70</v>
      </c>
    </row>
    <row r="113" spans="4:7" x14ac:dyDescent="0.25">
      <c r="D113">
        <f t="shared" si="9"/>
        <v>71</v>
      </c>
      <c r="E113" s="2">
        <f t="shared" si="6"/>
        <v>1225.4837719057739</v>
      </c>
      <c r="F113" s="2">
        <f t="shared" si="10"/>
        <v>1225.4837719057739</v>
      </c>
      <c r="G113" s="40">
        <f t="shared" si="8"/>
        <v>71.000000000000171</v>
      </c>
    </row>
    <row r="114" spans="4:7" x14ac:dyDescent="0.25">
      <c r="D114">
        <f t="shared" si="9"/>
        <v>72</v>
      </c>
      <c r="E114" s="2">
        <f t="shared" si="6"/>
        <v>1186.8021392863211</v>
      </c>
      <c r="F114" s="2">
        <f t="shared" si="10"/>
        <v>1186.8021392863211</v>
      </c>
      <c r="G114" s="40">
        <f t="shared" si="8"/>
        <v>72.000000000000512</v>
      </c>
    </row>
    <row r="115" spans="4:7" x14ac:dyDescent="0.25">
      <c r="D115">
        <f t="shared" si="9"/>
        <v>73</v>
      </c>
      <c r="E115" s="2">
        <f t="shared" si="6"/>
        <v>1149.5271013277131</v>
      </c>
      <c r="F115" s="2">
        <f t="shared" si="10"/>
        <v>1149.5271013277131</v>
      </c>
      <c r="G115" s="40">
        <f t="shared" si="8"/>
        <v>72.999999999999943</v>
      </c>
    </row>
    <row r="116" spans="4:7" x14ac:dyDescent="0.25">
      <c r="D116">
        <f t="shared" si="9"/>
        <v>74</v>
      </c>
      <c r="E116" s="2">
        <f t="shared" si="6"/>
        <v>1113.6013623255894</v>
      </c>
      <c r="F116" s="2">
        <f t="shared" si="10"/>
        <v>1113.6013623255894</v>
      </c>
      <c r="G116" s="40">
        <f t="shared" si="8"/>
        <v>74.000000000000227</v>
      </c>
    </row>
    <row r="117" spans="4:7" x14ac:dyDescent="0.25">
      <c r="D117">
        <f t="shared" si="9"/>
        <v>75</v>
      </c>
      <c r="E117" s="2">
        <f t="shared" si="6"/>
        <v>1078.9701944495898</v>
      </c>
      <c r="F117" s="2">
        <f t="shared" si="10"/>
        <v>1078.9701944495898</v>
      </c>
      <c r="G117" s="40">
        <f t="shared" si="8"/>
        <v>75.000000000000284</v>
      </c>
    </row>
    <row r="118" spans="4:7" x14ac:dyDescent="0.25">
      <c r="D118">
        <f t="shared" si="9"/>
        <v>76</v>
      </c>
      <c r="E118" s="2">
        <f t="shared" si="6"/>
        <v>1045.5813127129409</v>
      </c>
      <c r="F118" s="2">
        <f t="shared" si="10"/>
        <v>1045.5813127129409</v>
      </c>
      <c r="G118" s="40">
        <f t="shared" si="8"/>
        <v>75.999999999999943</v>
      </c>
    </row>
    <row r="119" spans="4:7" x14ac:dyDescent="0.25">
      <c r="D119">
        <f t="shared" si="9"/>
        <v>77</v>
      </c>
      <c r="E119" s="2">
        <f t="shared" si="6"/>
        <v>1013.3847564932776</v>
      </c>
      <c r="F119" s="2">
        <f t="shared" si="10"/>
        <v>1013.3847564932776</v>
      </c>
      <c r="G119" s="40">
        <f t="shared" si="8"/>
        <v>76.999999999999659</v>
      </c>
    </row>
    <row r="120" spans="4:7" x14ac:dyDescent="0.25">
      <c r="D120">
        <f t="shared" si="9"/>
        <v>78</v>
      </c>
      <c r="E120" s="2">
        <f t="shared" si="6"/>
        <v>982.33277723785716</v>
      </c>
      <c r="F120" s="2">
        <f t="shared" si="10"/>
        <v>982.33277723785716</v>
      </c>
      <c r="G120" s="40">
        <f t="shared" si="8"/>
        <v>78.000000000000512</v>
      </c>
    </row>
    <row r="121" spans="4:7" x14ac:dyDescent="0.25">
      <c r="D121">
        <f t="shared" si="9"/>
        <v>79</v>
      </c>
      <c r="E121" s="2">
        <f t="shared" si="6"/>
        <v>952.37973200847625</v>
      </c>
      <c r="F121" s="2">
        <f t="shared" si="10"/>
        <v>952.37973200847625</v>
      </c>
      <c r="G121" s="40">
        <f t="shared" si="8"/>
        <v>79.000000000000171</v>
      </c>
    </row>
    <row r="122" spans="4:7" x14ac:dyDescent="0.25">
      <c r="D122">
        <f t="shared" si="9"/>
        <v>80</v>
      </c>
      <c r="E122" s="2">
        <f t="shared" si="6"/>
        <v>923.48198254119393</v>
      </c>
      <c r="F122" s="2">
        <f t="shared" si="10"/>
        <v>923.48198254119393</v>
      </c>
      <c r="G122" s="40">
        <f t="shared" si="8"/>
        <v>80.000000000000568</v>
      </c>
    </row>
    <row r="123" spans="4:7" x14ac:dyDescent="0.25">
      <c r="D123">
        <f t="shared" si="9"/>
        <v>81</v>
      </c>
      <c r="E123" s="2">
        <f t="shared" si="6"/>
        <v>895.5977995163812</v>
      </c>
      <c r="F123" s="2">
        <f t="shared" si="10"/>
        <v>895.5977995163812</v>
      </c>
      <c r="G123" s="40">
        <f t="shared" si="8"/>
        <v>81.000000000000057</v>
      </c>
    </row>
    <row r="124" spans="4:7" x14ac:dyDescent="0.25">
      <c r="D124">
        <f t="shared" si="9"/>
        <v>82</v>
      </c>
      <c r="E124" s="2">
        <f t="shared" si="6"/>
        <v>868.68727175086394</v>
      </c>
      <c r="F124" s="2">
        <f t="shared" si="10"/>
        <v>868.68727175086394</v>
      </c>
      <c r="G124" s="40">
        <f t="shared" si="8"/>
        <v>81.999999999999886</v>
      </c>
    </row>
    <row r="125" spans="4:7" x14ac:dyDescent="0.25">
      <c r="D125">
        <f t="shared" si="9"/>
        <v>83</v>
      </c>
      <c r="E125" s="2">
        <f t="shared" si="6"/>
        <v>842.71222004240178</v>
      </c>
      <c r="F125" s="2">
        <f t="shared" si="10"/>
        <v>842.71222004240178</v>
      </c>
      <c r="G125" s="40">
        <f t="shared" si="8"/>
        <v>83.000000000000057</v>
      </c>
    </row>
    <row r="126" spans="4:7" x14ac:dyDescent="0.25">
      <c r="D126">
        <f t="shared" si="9"/>
        <v>84</v>
      </c>
      <c r="E126" s="2">
        <f t="shared" si="6"/>
        <v>817.63611541132434</v>
      </c>
      <c r="F126" s="2">
        <f t="shared" si="10"/>
        <v>817.63611541132434</v>
      </c>
      <c r="G126" s="40">
        <f t="shared" si="8"/>
        <v>83.999999999999716</v>
      </c>
    </row>
    <row r="127" spans="4:7" x14ac:dyDescent="0.25">
      <c r="D127">
        <f t="shared" si="9"/>
        <v>85</v>
      </c>
      <c r="E127" s="2">
        <f t="shared" si="6"/>
        <v>793.42400149952084</v>
      </c>
      <c r="F127" s="2">
        <f t="shared" si="10"/>
        <v>793.42400149952084</v>
      </c>
      <c r="G127" s="40">
        <f t="shared" si="8"/>
        <v>85</v>
      </c>
    </row>
    <row r="128" spans="4:7" x14ac:dyDescent="0.25">
      <c r="D128">
        <f t="shared" si="9"/>
        <v>86</v>
      </c>
      <c r="E128" s="2">
        <f t="shared" si="6"/>
        <v>770.04242090098546</v>
      </c>
      <c r="F128" s="2">
        <f t="shared" si="10"/>
        <v>770.04242090098546</v>
      </c>
      <c r="G128" s="40">
        <f t="shared" si="8"/>
        <v>85.999999999999432</v>
      </c>
    </row>
    <row r="129" spans="4:7" x14ac:dyDescent="0.25">
      <c r="D129">
        <f t="shared" si="9"/>
        <v>87</v>
      </c>
      <c r="E129" s="2">
        <f t="shared" si="6"/>
        <v>747.45934521058314</v>
      </c>
      <c r="F129" s="2">
        <f t="shared" si="10"/>
        <v>747.45934521058314</v>
      </c>
      <c r="G129" s="40">
        <f t="shared" si="8"/>
        <v>87.000000000000284</v>
      </c>
    </row>
    <row r="130" spans="4:7" x14ac:dyDescent="0.25">
      <c r="D130">
        <f t="shared" si="9"/>
        <v>88</v>
      </c>
      <c r="E130" s="2">
        <f t="shared" ref="E130:E192" si="11">EXP(((SQRT(($J$13/(3*$J$14))^3+((($J$12-(1/(D130+273.15)))/$J$14)^2)/4))-((($J$12-(1/(D130+273.15)))/$J$14)/2))^(1/3)-((SQRT(($J$13/(3*$J$14))^3+((($J$12-(1/(D130+273.15)))/$J$14)^2)/4))+((($J$12-(1/(D130+273.15)))/$J$14)/2))^(1/3))</f>
        <v>725.64410859090572</v>
      </c>
      <c r="F130" s="2">
        <f t="shared" ref="F130" si="12">E130</f>
        <v>725.64410859090572</v>
      </c>
      <c r="G130" s="40">
        <f t="shared" ref="G130:G192" si="13">1/($J$12+$J$13*LN(F130)+$J$14*(LN(F130))^3)-273.15</f>
        <v>88.000000000000512</v>
      </c>
    </row>
    <row r="131" spans="4:7" x14ac:dyDescent="0.25">
      <c r="D131">
        <f t="shared" si="9"/>
        <v>89</v>
      </c>
      <c r="E131" s="2">
        <f t="shared" si="11"/>
        <v>704.56734466738101</v>
      </c>
      <c r="F131" s="2">
        <f t="shared" ref="F131:F192" si="14">E131</f>
        <v>704.56734466738101</v>
      </c>
      <c r="G131" s="40">
        <f t="shared" si="13"/>
        <v>89.000000000000284</v>
      </c>
    </row>
    <row r="132" spans="4:7" x14ac:dyDescent="0.25">
      <c r="D132">
        <f t="shared" ref="D132:D192" si="15">D131+1</f>
        <v>90</v>
      </c>
      <c r="E132" s="2">
        <f t="shared" si="11"/>
        <v>684.20092657381338</v>
      </c>
      <c r="F132" s="2">
        <f t="shared" si="14"/>
        <v>684.20092657381338</v>
      </c>
      <c r="G132" s="40">
        <f t="shared" si="13"/>
        <v>89.999999999999943</v>
      </c>
    </row>
    <row r="133" spans="4:7" x14ac:dyDescent="0.25">
      <c r="D133">
        <f t="shared" si="15"/>
        <v>91</v>
      </c>
      <c r="E133" s="2">
        <f t="shared" si="11"/>
        <v>664.51790997988815</v>
      </c>
      <c r="F133" s="2">
        <f t="shared" si="14"/>
        <v>664.51790997988815</v>
      </c>
      <c r="G133" s="40">
        <f t="shared" si="13"/>
        <v>91.000000000000057</v>
      </c>
    </row>
    <row r="134" spans="4:7" x14ac:dyDescent="0.25">
      <c r="D134">
        <f t="shared" si="15"/>
        <v>92</v>
      </c>
      <c r="E134" s="2">
        <f t="shared" si="11"/>
        <v>645.49247894206439</v>
      </c>
      <c r="F134" s="2">
        <f t="shared" si="14"/>
        <v>645.49247894206439</v>
      </c>
      <c r="G134" s="40">
        <f t="shared" si="13"/>
        <v>92</v>
      </c>
    </row>
    <row r="135" spans="4:7" x14ac:dyDescent="0.25">
      <c r="D135">
        <f t="shared" si="15"/>
        <v>93</v>
      </c>
      <c r="E135" s="2">
        <f t="shared" si="11"/>
        <v>627.09989442806102</v>
      </c>
      <c r="F135" s="2">
        <f t="shared" si="14"/>
        <v>627.09989442806102</v>
      </c>
      <c r="G135" s="40">
        <f t="shared" si="13"/>
        <v>93.000000000000739</v>
      </c>
    </row>
    <row r="136" spans="4:7" x14ac:dyDescent="0.25">
      <c r="D136">
        <f t="shared" si="15"/>
        <v>94</v>
      </c>
      <c r="E136" s="2">
        <f t="shared" si="11"/>
        <v>609.31644537391583</v>
      </c>
      <c r="F136" s="2">
        <f t="shared" si="14"/>
        <v>609.31644537391583</v>
      </c>
      <c r="G136" s="40">
        <f t="shared" si="13"/>
        <v>94</v>
      </c>
    </row>
    <row r="137" spans="4:7" x14ac:dyDescent="0.25">
      <c r="D137">
        <f t="shared" si="15"/>
        <v>95</v>
      </c>
      <c r="E137" s="2">
        <f t="shared" si="11"/>
        <v>592.11940213992455</v>
      </c>
      <c r="F137" s="2">
        <f t="shared" si="14"/>
        <v>592.11940213992455</v>
      </c>
      <c r="G137" s="40">
        <f t="shared" si="13"/>
        <v>95.000000000000171</v>
      </c>
    </row>
    <row r="138" spans="4:7" x14ac:dyDescent="0.25">
      <c r="D138">
        <f t="shared" si="15"/>
        <v>96</v>
      </c>
      <c r="E138" s="2">
        <f t="shared" si="11"/>
        <v>575.48697224011494</v>
      </c>
      <c r="F138" s="2">
        <f t="shared" si="14"/>
        <v>575.48697224011494</v>
      </c>
      <c r="G138" s="40">
        <f t="shared" si="13"/>
        <v>96.000000000000171</v>
      </c>
    </row>
    <row r="139" spans="4:7" x14ac:dyDescent="0.25">
      <c r="D139">
        <f t="shared" si="15"/>
        <v>97</v>
      </c>
      <c r="E139" s="2">
        <f t="shared" si="11"/>
        <v>559.39825822593843</v>
      </c>
      <c r="F139" s="2">
        <f t="shared" si="14"/>
        <v>559.39825822593843</v>
      </c>
      <c r="G139" s="40">
        <f t="shared" si="13"/>
        <v>97.000000000000682</v>
      </c>
    </row>
    <row r="140" spans="4:7" x14ac:dyDescent="0.25">
      <c r="D140">
        <f t="shared" si="15"/>
        <v>98</v>
      </c>
      <c r="E140" s="2">
        <f t="shared" si="11"/>
        <v>543.8332176123098</v>
      </c>
      <c r="F140" s="2">
        <f t="shared" si="14"/>
        <v>543.8332176123098</v>
      </c>
      <c r="G140" s="40">
        <f t="shared" si="13"/>
        <v>97.999999999999716</v>
      </c>
    </row>
    <row r="141" spans="4:7" x14ac:dyDescent="0.25">
      <c r="D141">
        <f t="shared" si="15"/>
        <v>99</v>
      </c>
      <c r="E141" s="2">
        <f t="shared" si="11"/>
        <v>528.77262473966368</v>
      </c>
      <c r="F141" s="2">
        <f t="shared" si="14"/>
        <v>528.77262473966368</v>
      </c>
      <c r="G141" s="40">
        <f t="shared" si="13"/>
        <v>99.000000000000625</v>
      </c>
    </row>
    <row r="142" spans="4:7" x14ac:dyDescent="0.25">
      <c r="D142">
        <f t="shared" si="15"/>
        <v>100</v>
      </c>
      <c r="E142" s="2">
        <f t="shared" si="11"/>
        <v>514.19803447235643</v>
      </c>
      <c r="F142" s="2">
        <f t="shared" si="14"/>
        <v>514.19803447235643</v>
      </c>
      <c r="G142" s="40">
        <f t="shared" si="13"/>
        <v>100</v>
      </c>
    </row>
    <row r="143" spans="4:7" x14ac:dyDescent="0.25">
      <c r="D143">
        <f t="shared" si="15"/>
        <v>101</v>
      </c>
      <c r="E143" s="2">
        <f t="shared" si="11"/>
        <v>500.09174763810677</v>
      </c>
      <c r="F143" s="2">
        <f t="shared" si="14"/>
        <v>500.09174763810677</v>
      </c>
      <c r="G143" s="40">
        <f t="shared" si="13"/>
        <v>101.00000000000006</v>
      </c>
    </row>
    <row r="144" spans="4:7" x14ac:dyDescent="0.25">
      <c r="D144">
        <f t="shared" si="15"/>
        <v>102</v>
      </c>
      <c r="E144" s="2">
        <f t="shared" si="11"/>
        <v>486.43677811970508</v>
      </c>
      <c r="F144" s="2">
        <f t="shared" si="14"/>
        <v>486.43677811970508</v>
      </c>
      <c r="G144" s="40">
        <f t="shared" si="13"/>
        <v>101.99999999999977</v>
      </c>
    </row>
    <row r="145" spans="4:7" x14ac:dyDescent="0.25">
      <c r="D145">
        <f t="shared" si="15"/>
        <v>103</v>
      </c>
      <c r="E145" s="2">
        <f t="shared" si="11"/>
        <v>473.21682151390888</v>
      </c>
      <c r="F145" s="2">
        <f t="shared" si="14"/>
        <v>473.21682151390888</v>
      </c>
      <c r="G145" s="40">
        <f t="shared" si="13"/>
        <v>103.00000000000011</v>
      </c>
    </row>
    <row r="146" spans="4:7" x14ac:dyDescent="0.25">
      <c r="D146">
        <f t="shared" si="15"/>
        <v>104</v>
      </c>
      <c r="E146" s="2">
        <f t="shared" si="11"/>
        <v>460.41622527789724</v>
      </c>
      <c r="F146" s="2">
        <f t="shared" si="14"/>
        <v>460.41622527789724</v>
      </c>
      <c r="G146" s="40">
        <f t="shared" si="13"/>
        <v>103.9999999999996</v>
      </c>
    </row>
    <row r="147" spans="4:7" x14ac:dyDescent="0.25">
      <c r="D147">
        <f t="shared" si="15"/>
        <v>105</v>
      </c>
      <c r="E147" s="2">
        <f t="shared" si="11"/>
        <v>448.0199602874236</v>
      </c>
      <c r="F147" s="2">
        <f t="shared" si="14"/>
        <v>448.0199602874236</v>
      </c>
      <c r="G147" s="40">
        <f t="shared" si="13"/>
        <v>105</v>
      </c>
    </row>
    <row r="148" spans="4:7" x14ac:dyDescent="0.25">
      <c r="D148">
        <f t="shared" si="15"/>
        <v>106</v>
      </c>
      <c r="E148" s="2">
        <f t="shared" si="11"/>
        <v>436.01359373539719</v>
      </c>
      <c r="F148" s="2">
        <f t="shared" si="14"/>
        <v>436.01359373539719</v>
      </c>
      <c r="G148" s="40">
        <f t="shared" si="13"/>
        <v>106.00000000000023</v>
      </c>
    </row>
    <row r="149" spans="4:7" x14ac:dyDescent="0.25">
      <c r="D149">
        <f t="shared" si="15"/>
        <v>107</v>
      </c>
      <c r="E149" s="2">
        <f t="shared" si="11"/>
        <v>424.38326330297889</v>
      </c>
      <c r="F149" s="2">
        <f t="shared" si="14"/>
        <v>424.38326330297889</v>
      </c>
      <c r="G149" s="40">
        <f t="shared" si="13"/>
        <v>107.00000000000011</v>
      </c>
    </row>
    <row r="150" spans="4:7" x14ac:dyDescent="0.25">
      <c r="D150">
        <f t="shared" si="15"/>
        <v>108</v>
      </c>
      <c r="E150" s="2">
        <f t="shared" si="11"/>
        <v>413.11565253931286</v>
      </c>
      <c r="F150" s="2">
        <f t="shared" si="14"/>
        <v>413.11565253931286</v>
      </c>
      <c r="G150" s="40">
        <f t="shared" si="13"/>
        <v>107.99999999999994</v>
      </c>
    </row>
    <row r="151" spans="4:7" x14ac:dyDescent="0.25">
      <c r="D151">
        <f t="shared" si="15"/>
        <v>109</v>
      </c>
      <c r="E151" s="2">
        <f t="shared" si="11"/>
        <v>402.19796738925533</v>
      </c>
      <c r="F151" s="2">
        <f t="shared" si="14"/>
        <v>402.19796738925533</v>
      </c>
      <c r="G151" s="40">
        <f t="shared" si="13"/>
        <v>109</v>
      </c>
    </row>
    <row r="152" spans="4:7" x14ac:dyDescent="0.25">
      <c r="D152">
        <f t="shared" si="15"/>
        <v>110</v>
      </c>
      <c r="E152" s="2">
        <f t="shared" si="11"/>
        <v>391.61791381173794</v>
      </c>
      <c r="F152" s="2">
        <f t="shared" si="14"/>
        <v>391.61791381173794</v>
      </c>
      <c r="G152" s="40">
        <f t="shared" si="13"/>
        <v>109.9999999999996</v>
      </c>
    </row>
    <row r="153" spans="4:7" x14ac:dyDescent="0.25">
      <c r="D153">
        <f t="shared" si="15"/>
        <v>111</v>
      </c>
      <c r="E153" s="2">
        <f t="shared" si="11"/>
        <v>381.36367643439183</v>
      </c>
      <c r="F153" s="2">
        <f t="shared" si="14"/>
        <v>381.36367643439183</v>
      </c>
      <c r="G153" s="40">
        <f t="shared" si="13"/>
        <v>110.99999999999989</v>
      </c>
    </row>
    <row r="154" spans="4:7" x14ac:dyDescent="0.25">
      <c r="D154">
        <f t="shared" si="15"/>
        <v>112</v>
      </c>
      <c r="E154" s="2">
        <f t="shared" si="11"/>
        <v>371.42389819312871</v>
      </c>
      <c r="F154" s="2">
        <f t="shared" si="14"/>
        <v>371.42389819312871</v>
      </c>
      <c r="G154" s="40">
        <f t="shared" si="13"/>
        <v>112.00000000000051</v>
      </c>
    </row>
    <row r="155" spans="4:7" x14ac:dyDescent="0.25">
      <c r="D155">
        <f t="shared" si="15"/>
        <v>113</v>
      </c>
      <c r="E155" s="2">
        <f t="shared" si="11"/>
        <v>361.78766090783051</v>
      </c>
      <c r="F155" s="2">
        <f t="shared" si="14"/>
        <v>361.78766090783051</v>
      </c>
      <c r="G155" s="40">
        <f t="shared" si="13"/>
        <v>113.00000000000017</v>
      </c>
    </row>
    <row r="156" spans="4:7" x14ac:dyDescent="0.25">
      <c r="D156">
        <f t="shared" si="15"/>
        <v>114</v>
      </c>
      <c r="E156" s="2">
        <f t="shared" si="11"/>
        <v>352.44446674802924</v>
      </c>
      <c r="F156" s="2">
        <f t="shared" si="14"/>
        <v>352.44446674802924</v>
      </c>
      <c r="G156" s="40">
        <f t="shared" si="13"/>
        <v>114.00000000000045</v>
      </c>
    </row>
    <row r="157" spans="4:7" x14ac:dyDescent="0.25">
      <c r="D157">
        <f t="shared" si="15"/>
        <v>115</v>
      </c>
      <c r="E157" s="2">
        <f t="shared" si="11"/>
        <v>343.38422054497033</v>
      </c>
      <c r="F157" s="2">
        <f t="shared" si="14"/>
        <v>343.38422054497033</v>
      </c>
      <c r="G157" s="40">
        <f t="shared" si="13"/>
        <v>114.9999999999996</v>
      </c>
    </row>
    <row r="158" spans="4:7" x14ac:dyDescent="0.25">
      <c r="D158">
        <f t="shared" si="15"/>
        <v>116</v>
      </c>
      <c r="E158" s="2">
        <f t="shared" si="11"/>
        <v>334.59721290839633</v>
      </c>
      <c r="F158" s="2">
        <f t="shared" si="14"/>
        <v>334.59721290839633</v>
      </c>
      <c r="G158" s="40">
        <f t="shared" si="13"/>
        <v>116</v>
      </c>
    </row>
    <row r="159" spans="4:7" x14ac:dyDescent="0.25">
      <c r="D159">
        <f t="shared" si="15"/>
        <v>117</v>
      </c>
      <c r="E159" s="2">
        <f t="shared" si="11"/>
        <v>326.0741041090555</v>
      </c>
      <c r="F159" s="2">
        <f t="shared" si="14"/>
        <v>326.0741041090555</v>
      </c>
      <c r="G159" s="40">
        <f t="shared" si="13"/>
        <v>116.99999999999972</v>
      </c>
    </row>
    <row r="160" spans="4:7" x14ac:dyDescent="0.25">
      <c r="D160">
        <f t="shared" si="15"/>
        <v>118</v>
      </c>
      <c r="E160" s="2">
        <f t="shared" si="11"/>
        <v>317.80590868939731</v>
      </c>
      <c r="F160" s="2">
        <f t="shared" si="14"/>
        <v>317.80590868939731</v>
      </c>
      <c r="G160" s="40">
        <f t="shared" si="13"/>
        <v>117.99999999999972</v>
      </c>
    </row>
    <row r="161" spans="4:7" x14ac:dyDescent="0.25">
      <c r="D161">
        <f t="shared" si="15"/>
        <v>119</v>
      </c>
      <c r="E161" s="2">
        <f t="shared" si="11"/>
        <v>309.78398076741581</v>
      </c>
      <c r="F161" s="2">
        <f t="shared" si="14"/>
        <v>309.78398076741581</v>
      </c>
      <c r="G161" s="40">
        <f t="shared" si="13"/>
        <v>119</v>
      </c>
    </row>
    <row r="162" spans="4:7" x14ac:dyDescent="0.25">
      <c r="D162">
        <f t="shared" si="15"/>
        <v>120</v>
      </c>
      <c r="E162" s="2">
        <f t="shared" si="11"/>
        <v>301.99999999999869</v>
      </c>
      <c r="F162" s="2">
        <f t="shared" si="14"/>
        <v>301.99999999999869</v>
      </c>
      <c r="G162" s="40">
        <f t="shared" si="13"/>
        <v>120.00000000000023</v>
      </c>
    </row>
    <row r="163" spans="4:7" x14ac:dyDescent="0.25">
      <c r="D163">
        <f t="shared" si="15"/>
        <v>121</v>
      </c>
      <c r="E163" s="2">
        <f t="shared" si="11"/>
        <v>294.4459581740802</v>
      </c>
      <c r="F163" s="2">
        <f t="shared" si="14"/>
        <v>294.4459581740802</v>
      </c>
      <c r="G163" s="40">
        <f t="shared" si="13"/>
        <v>120.99999999999966</v>
      </c>
    </row>
    <row r="164" spans="4:7" x14ac:dyDescent="0.25">
      <c r="D164">
        <f t="shared" si="15"/>
        <v>122</v>
      </c>
      <c r="E164" s="2">
        <f t="shared" si="11"/>
        <v>287.11414639544063</v>
      </c>
      <c r="F164" s="2">
        <f t="shared" si="14"/>
        <v>287.11414639544063</v>
      </c>
      <c r="G164" s="40">
        <f t="shared" si="13"/>
        <v>122.00000000000023</v>
      </c>
    </row>
    <row r="165" spans="4:7" x14ac:dyDescent="0.25">
      <c r="D165">
        <f t="shared" si="15"/>
        <v>123</v>
      </c>
      <c r="E165" s="2">
        <f t="shared" si="11"/>
        <v>279.99714284665816</v>
      </c>
      <c r="F165" s="2">
        <f t="shared" si="14"/>
        <v>279.99714284665816</v>
      </c>
      <c r="G165" s="40">
        <f t="shared" si="13"/>
        <v>123.00000000000023</v>
      </c>
    </row>
    <row r="166" spans="4:7" x14ac:dyDescent="0.25">
      <c r="D166">
        <f t="shared" si="15"/>
        <v>124</v>
      </c>
      <c r="E166" s="2">
        <f t="shared" si="11"/>
        <v>273.08780108691934</v>
      </c>
      <c r="F166" s="2">
        <f t="shared" si="14"/>
        <v>273.08780108691934</v>
      </c>
      <c r="G166" s="40">
        <f t="shared" si="13"/>
        <v>124.00000000000023</v>
      </c>
    </row>
    <row r="167" spans="4:7" x14ac:dyDescent="0.25">
      <c r="D167">
        <f t="shared" si="15"/>
        <v>125</v>
      </c>
      <c r="E167" s="2">
        <f t="shared" si="11"/>
        <v>266.37923886810137</v>
      </c>
      <c r="F167" s="2">
        <f t="shared" si="14"/>
        <v>266.37923886810137</v>
      </c>
      <c r="G167" s="40">
        <f t="shared" si="13"/>
        <v>125</v>
      </c>
    </row>
    <row r="168" spans="4:7" x14ac:dyDescent="0.25">
      <c r="D168">
        <f t="shared" si="15"/>
        <v>126</v>
      </c>
      <c r="E168" s="2">
        <f t="shared" si="11"/>
        <v>259.86482744257393</v>
      </c>
      <c r="F168" s="2">
        <f t="shared" si="14"/>
        <v>259.86482744257393</v>
      </c>
      <c r="G168" s="40">
        <f t="shared" si="13"/>
        <v>125.99999999999989</v>
      </c>
    </row>
    <row r="169" spans="4:7" x14ac:dyDescent="0.25">
      <c r="D169">
        <f t="shared" si="15"/>
        <v>127</v>
      </c>
      <c r="E169" s="2">
        <f t="shared" si="11"/>
        <v>253.53818133956531</v>
      </c>
      <c r="F169" s="2">
        <f t="shared" si="14"/>
        <v>253.53818133956531</v>
      </c>
      <c r="G169" s="40">
        <f t="shared" si="13"/>
        <v>126.99999999999989</v>
      </c>
    </row>
    <row r="170" spans="4:7" x14ac:dyDescent="0.25">
      <c r="D170">
        <f t="shared" si="15"/>
        <v>128</v>
      </c>
      <c r="E170" s="2">
        <f t="shared" si="11"/>
        <v>247.39314858801384</v>
      </c>
      <c r="F170" s="2">
        <f t="shared" si="14"/>
        <v>247.39314858801384</v>
      </c>
      <c r="G170" s="40">
        <f t="shared" si="13"/>
        <v>128.00000000000011</v>
      </c>
    </row>
    <row r="171" spans="4:7" x14ac:dyDescent="0.25">
      <c r="D171">
        <f t="shared" si="15"/>
        <v>129</v>
      </c>
      <c r="E171" s="2">
        <f t="shared" si="11"/>
        <v>241.42380136499483</v>
      </c>
      <c r="F171" s="2">
        <f t="shared" si="14"/>
        <v>241.42380136499483</v>
      </c>
      <c r="G171" s="40">
        <f t="shared" si="13"/>
        <v>128.9999999999996</v>
      </c>
    </row>
    <row r="172" spans="4:7" x14ac:dyDescent="0.25">
      <c r="D172">
        <f t="shared" si="15"/>
        <v>130</v>
      </c>
      <c r="E172" s="2">
        <f t="shared" si="11"/>
        <v>235.62442704978886</v>
      </c>
      <c r="F172" s="2">
        <f t="shared" si="14"/>
        <v>235.62442704978886</v>
      </c>
      <c r="G172" s="40">
        <f t="shared" si="13"/>
        <v>130.00000000000034</v>
      </c>
    </row>
    <row r="173" spans="4:7" x14ac:dyDescent="0.25">
      <c r="D173">
        <f t="shared" si="15"/>
        <v>131</v>
      </c>
      <c r="E173" s="2">
        <f t="shared" si="11"/>
        <v>229.98951966478424</v>
      </c>
      <c r="F173" s="2">
        <f t="shared" si="14"/>
        <v>229.98951966478424</v>
      </c>
      <c r="G173" s="40">
        <f t="shared" si="13"/>
        <v>131.00000000000006</v>
      </c>
    </row>
    <row r="174" spans="4:7" x14ac:dyDescent="0.25">
      <c r="D174">
        <f t="shared" si="15"/>
        <v>132</v>
      </c>
      <c r="E174" s="2">
        <f t="shared" si="11"/>
        <v>224.51377168510936</v>
      </c>
      <c r="F174" s="2">
        <f t="shared" si="14"/>
        <v>224.51377168510936</v>
      </c>
      <c r="G174" s="40">
        <f t="shared" si="13"/>
        <v>132.00000000000045</v>
      </c>
    </row>
    <row r="175" spans="4:7" x14ac:dyDescent="0.25">
      <c r="D175">
        <f t="shared" si="15"/>
        <v>133</v>
      </c>
      <c r="E175" s="2">
        <f t="shared" si="11"/>
        <v>219.19206620009027</v>
      </c>
      <c r="F175" s="2">
        <f t="shared" si="14"/>
        <v>219.19206620009027</v>
      </c>
      <c r="G175" s="40">
        <f t="shared" si="13"/>
        <v>132.99999999999943</v>
      </c>
    </row>
    <row r="176" spans="4:7" x14ac:dyDescent="0.25">
      <c r="D176">
        <f t="shared" si="15"/>
        <v>134</v>
      </c>
      <c r="E176" s="2">
        <f t="shared" si="11"/>
        <v>214.01946941013748</v>
      </c>
      <c r="F176" s="2">
        <f t="shared" si="14"/>
        <v>214.01946941013748</v>
      </c>
      <c r="G176" s="40">
        <f t="shared" si="13"/>
        <v>134.00000000000017</v>
      </c>
    </row>
    <row r="177" spans="4:7" x14ac:dyDescent="0.25">
      <c r="D177">
        <f t="shared" si="15"/>
        <v>135</v>
      </c>
      <c r="E177" s="2">
        <f t="shared" si="11"/>
        <v>208.99122344382167</v>
      </c>
      <c r="F177" s="2">
        <f t="shared" si="14"/>
        <v>208.99122344382167</v>
      </c>
      <c r="G177" s="40">
        <f t="shared" si="13"/>
        <v>135.00000000000017</v>
      </c>
    </row>
    <row r="178" spans="4:7" x14ac:dyDescent="0.25">
      <c r="D178">
        <f t="shared" si="15"/>
        <v>136</v>
      </c>
      <c r="E178" s="2">
        <f t="shared" si="11"/>
        <v>204.10273948026196</v>
      </c>
      <c r="F178" s="2">
        <f t="shared" si="14"/>
        <v>204.10273948026196</v>
      </c>
      <c r="G178" s="40">
        <f t="shared" si="13"/>
        <v>135.99999999999966</v>
      </c>
    </row>
    <row r="179" spans="4:7" x14ac:dyDescent="0.25">
      <c r="D179">
        <f t="shared" si="15"/>
        <v>137</v>
      </c>
      <c r="E179" s="2">
        <f t="shared" si="11"/>
        <v>199.34959116302755</v>
      </c>
      <c r="F179" s="2">
        <f t="shared" si="14"/>
        <v>199.34959116302755</v>
      </c>
      <c r="G179" s="40">
        <f t="shared" si="13"/>
        <v>137.00000000000017</v>
      </c>
    </row>
    <row r="180" spans="4:7" x14ac:dyDescent="0.25">
      <c r="D180">
        <f t="shared" si="15"/>
        <v>138</v>
      </c>
      <c r="E180" s="2">
        <f t="shared" si="11"/>
        <v>194.72750829224208</v>
      </c>
      <c r="F180" s="2">
        <f t="shared" si="14"/>
        <v>194.72750829224208</v>
      </c>
      <c r="G180" s="40">
        <f t="shared" si="13"/>
        <v>137.99999999999932</v>
      </c>
    </row>
    <row r="181" spans="4:7" x14ac:dyDescent="0.25">
      <c r="D181">
        <f t="shared" si="15"/>
        <v>139</v>
      </c>
      <c r="E181" s="2">
        <f t="shared" si="11"/>
        <v>190.23237078217849</v>
      </c>
      <c r="F181" s="2">
        <f t="shared" si="14"/>
        <v>190.23237078217849</v>
      </c>
      <c r="G181" s="40">
        <f t="shared" si="13"/>
        <v>138.99999999999989</v>
      </c>
    </row>
    <row r="182" spans="4:7" x14ac:dyDescent="0.25">
      <c r="D182">
        <f t="shared" si="15"/>
        <v>140</v>
      </c>
      <c r="E182" s="2">
        <f t="shared" si="11"/>
        <v>185.86020287248249</v>
      </c>
      <c r="F182" s="2">
        <f t="shared" si="14"/>
        <v>185.86020287248249</v>
      </c>
      <c r="G182" s="40">
        <f t="shared" si="13"/>
        <v>140.00000000000006</v>
      </c>
    </row>
    <row r="183" spans="4:7" x14ac:dyDescent="0.25">
      <c r="D183">
        <f t="shared" si="15"/>
        <v>141</v>
      </c>
      <c r="E183" s="2">
        <f t="shared" si="11"/>
        <v>181.60716758142397</v>
      </c>
      <c r="F183" s="2">
        <f t="shared" si="14"/>
        <v>181.60716758142397</v>
      </c>
      <c r="G183" s="40">
        <f t="shared" si="13"/>
        <v>141.00000000000017</v>
      </c>
    </row>
    <row r="184" spans="4:7" x14ac:dyDescent="0.25">
      <c r="D184">
        <f t="shared" si="15"/>
        <v>142</v>
      </c>
      <c r="E184" s="2">
        <f t="shared" si="11"/>
        <v>177.46956139041211</v>
      </c>
      <c r="F184" s="2">
        <f t="shared" si="14"/>
        <v>177.46956139041211</v>
      </c>
      <c r="G184" s="40">
        <f t="shared" si="13"/>
        <v>142.00000000000045</v>
      </c>
    </row>
    <row r="185" spans="4:7" x14ac:dyDescent="0.25">
      <c r="D185">
        <f t="shared" si="15"/>
        <v>143</v>
      </c>
      <c r="E185" s="2">
        <f t="shared" si="11"/>
        <v>173.4438091493563</v>
      </c>
      <c r="F185" s="2">
        <f t="shared" si="14"/>
        <v>173.4438091493563</v>
      </c>
      <c r="G185" s="40">
        <f t="shared" si="13"/>
        <v>142.99999999999972</v>
      </c>
    </row>
    <row r="186" spans="4:7" x14ac:dyDescent="0.25">
      <c r="D186">
        <f t="shared" si="15"/>
        <v>144</v>
      </c>
      <c r="E186" s="2">
        <f t="shared" si="11"/>
        <v>169.52645919299874</v>
      </c>
      <c r="F186" s="2">
        <f t="shared" si="14"/>
        <v>169.52645919299874</v>
      </c>
      <c r="G186" s="40">
        <f t="shared" si="13"/>
        <v>144</v>
      </c>
    </row>
    <row r="187" spans="4:7" x14ac:dyDescent="0.25">
      <c r="D187">
        <f t="shared" si="15"/>
        <v>145</v>
      </c>
      <c r="E187" s="2">
        <f t="shared" si="11"/>
        <v>165.71417865888003</v>
      </c>
      <c r="F187" s="2">
        <f t="shared" si="14"/>
        <v>165.71417865888003</v>
      </c>
      <c r="G187" s="40">
        <f t="shared" si="13"/>
        <v>144.99999999999943</v>
      </c>
    </row>
    <row r="188" spans="4:7" x14ac:dyDescent="0.25">
      <c r="D188">
        <f t="shared" si="15"/>
        <v>146</v>
      </c>
      <c r="E188" s="2">
        <f t="shared" si="11"/>
        <v>162.00374899789335</v>
      </c>
      <c r="F188" s="2">
        <f t="shared" si="14"/>
        <v>162.00374899789335</v>
      </c>
      <c r="G188" s="40">
        <f t="shared" si="13"/>
        <v>145.99999999999994</v>
      </c>
    </row>
    <row r="189" spans="4:7" x14ac:dyDescent="0.25">
      <c r="D189">
        <f t="shared" si="15"/>
        <v>147</v>
      </c>
      <c r="E189" s="2">
        <f t="shared" si="11"/>
        <v>158.39206166901275</v>
      </c>
      <c r="F189" s="2">
        <f t="shared" si="14"/>
        <v>158.39206166901275</v>
      </c>
      <c r="G189" s="40">
        <f t="shared" si="13"/>
        <v>146.99999999999983</v>
      </c>
    </row>
    <row r="190" spans="4:7" x14ac:dyDescent="0.25">
      <c r="D190">
        <f t="shared" si="15"/>
        <v>148</v>
      </c>
      <c r="E190" s="2">
        <f t="shared" si="11"/>
        <v>154.87611400996786</v>
      </c>
      <c r="F190" s="2">
        <f t="shared" si="14"/>
        <v>154.87611400996786</v>
      </c>
      <c r="G190" s="40">
        <f t="shared" si="13"/>
        <v>148</v>
      </c>
    </row>
    <row r="191" spans="4:7" x14ac:dyDescent="0.25">
      <c r="D191">
        <f t="shared" si="15"/>
        <v>149</v>
      </c>
      <c r="E191" s="2">
        <f t="shared" si="11"/>
        <v>151.45300527621029</v>
      </c>
      <c r="F191" s="2">
        <f t="shared" si="14"/>
        <v>151.45300527621029</v>
      </c>
      <c r="G191" s="40">
        <f t="shared" si="13"/>
        <v>148.99999999999932</v>
      </c>
    </row>
    <row r="192" spans="4:7" x14ac:dyDescent="0.25">
      <c r="D192">
        <f t="shared" si="15"/>
        <v>150</v>
      </c>
      <c r="E192" s="2">
        <f t="shared" si="11"/>
        <v>148.11993284072562</v>
      </c>
      <c r="F192" s="2">
        <f t="shared" si="14"/>
        <v>148.11993284072562</v>
      </c>
      <c r="G192" s="40">
        <f t="shared" si="13"/>
        <v>150.00000000000011</v>
      </c>
    </row>
    <row r="227" spans="2:2" x14ac:dyDescent="0.25">
      <c r="B227" s="2"/>
    </row>
  </sheetData>
  <mergeCells count="3">
    <mergeCell ref="I11:J11"/>
    <mergeCell ref="D1:E1"/>
    <mergeCell ref="F1:G1"/>
  </mergeCells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9977-B172-454D-B79D-5AA95CFC6BFC}">
  <dimension ref="A1:N259"/>
  <sheetViews>
    <sheetView workbookViewId="0">
      <selection activeCell="J2" sqref="J2"/>
    </sheetView>
  </sheetViews>
  <sheetFormatPr baseColWidth="10" defaultRowHeight="15" x14ac:dyDescent="0.25"/>
  <cols>
    <col min="1" max="1" width="10.28515625" customWidth="1"/>
    <col min="2" max="2" width="10.42578125" customWidth="1"/>
    <col min="3" max="3" width="12.5703125" bestFit="1" customWidth="1"/>
    <col min="5" max="8" width="11.85546875" customWidth="1"/>
    <col min="10" max="11" width="11" customWidth="1"/>
    <col min="13" max="14" width="10.7109375" customWidth="1"/>
  </cols>
  <sheetData>
    <row r="1" spans="1:14" x14ac:dyDescent="0.25">
      <c r="A1" t="s">
        <v>49</v>
      </c>
      <c r="B1" t="s">
        <v>6</v>
      </c>
      <c r="C1" t="s">
        <v>3</v>
      </c>
      <c r="E1" s="63" t="s">
        <v>45</v>
      </c>
      <c r="F1" s="63" t="s">
        <v>50</v>
      </c>
      <c r="G1" s="63" t="s">
        <v>46</v>
      </c>
      <c r="H1" s="63" t="s">
        <v>48</v>
      </c>
      <c r="J1" s="2" t="s">
        <v>41</v>
      </c>
      <c r="K1" s="1" t="s">
        <v>4</v>
      </c>
      <c r="M1" s="2" t="s">
        <v>47</v>
      </c>
      <c r="N1" s="1" t="s">
        <v>41</v>
      </c>
    </row>
    <row r="2" spans="1:14" x14ac:dyDescent="0.25">
      <c r="A2">
        <f t="shared" ref="A2:A65" si="0">A3+1</f>
        <v>256</v>
      </c>
      <c r="B2" s="2">
        <f t="shared" ref="B2:B65" si="1">B3+$H$2</f>
        <v>50000.000000000109</v>
      </c>
      <c r="C2" s="1">
        <f>1/('NTC PAW-A2W-TSOD'!$J$12+'NTC PAW-A2W-TSOD'!$J$13*LN(B2)+'NTC PAW-A2W-TSOD'!$J$14*(LN(B2))^3)-273.15</f>
        <v>-18.644844136215198</v>
      </c>
      <c r="E2" s="62">
        <v>3300</v>
      </c>
      <c r="F2" s="62">
        <v>50000</v>
      </c>
      <c r="G2" s="64">
        <v>257</v>
      </c>
      <c r="H2">
        <f>$F$2/$G$2</f>
        <v>194.55252918287937</v>
      </c>
      <c r="J2" s="65">
        <v>42607</v>
      </c>
      <c r="K2" s="66">
        <f>(J2/(F2/G2))-1</f>
        <v>217.99998000000002</v>
      </c>
      <c r="M2" s="65">
        <v>218</v>
      </c>
      <c r="N2" s="66">
        <f xml:space="preserve"> ($F$2/$G$2) + ((M2)*($F$2/$G$2))</f>
        <v>42607.003891050583</v>
      </c>
    </row>
    <row r="3" spans="1:14" x14ac:dyDescent="0.25">
      <c r="A3">
        <f t="shared" si="0"/>
        <v>255</v>
      </c>
      <c r="B3" s="2">
        <f t="shared" si="1"/>
        <v>49805.447470817227</v>
      </c>
      <c r="C3" s="1">
        <f>1/('NTC PAW-A2W-TSOD'!$J$12+'NTC PAW-A2W-TSOD'!$J$13*LN(B3)+'NTC PAW-A2W-TSOD'!$J$14*(LN(B3))^3)-273.15</f>
        <v>-18.571256544610208</v>
      </c>
    </row>
    <row r="4" spans="1:14" x14ac:dyDescent="0.25">
      <c r="A4">
        <f t="shared" si="0"/>
        <v>254</v>
      </c>
      <c r="B4" s="2">
        <f t="shared" si="1"/>
        <v>49610.894941634346</v>
      </c>
      <c r="C4" s="1">
        <f>1/('NTC PAW-A2W-TSOD'!$J$12+'NTC PAW-A2W-TSOD'!$J$13*LN(B4)+'NTC PAW-A2W-TSOD'!$J$14*(LN(B4))^3)-273.15</f>
        <v>-18.497347396182846</v>
      </c>
      <c r="E4" s="2"/>
      <c r="F4" s="1"/>
    </row>
    <row r="5" spans="1:14" x14ac:dyDescent="0.25">
      <c r="A5">
        <f t="shared" si="0"/>
        <v>253</v>
      </c>
      <c r="B5" s="2">
        <f t="shared" si="1"/>
        <v>49416.342412451464</v>
      </c>
      <c r="C5" s="1">
        <f>1/('NTC PAW-A2W-TSOD'!$J$12+'NTC PAW-A2W-TSOD'!$J$13*LN(B5)+'NTC PAW-A2W-TSOD'!$J$14*(LN(B5))^3)-273.15</f>
        <v>-18.423114007203452</v>
      </c>
      <c r="E5" s="2"/>
      <c r="F5" s="1"/>
    </row>
    <row r="6" spans="1:14" x14ac:dyDescent="0.25">
      <c r="A6">
        <f t="shared" si="0"/>
        <v>252</v>
      </c>
      <c r="B6" s="2">
        <f t="shared" si="1"/>
        <v>49221.789883268582</v>
      </c>
      <c r="C6" s="1">
        <f>1/('NTC PAW-A2W-TSOD'!$J$12+'NTC PAW-A2W-TSOD'!$J$13*LN(B6)+'NTC PAW-A2W-TSOD'!$J$14*(LN(B6))^3)-273.15</f>
        <v>-18.34855366081996</v>
      </c>
      <c r="E6" s="2"/>
      <c r="F6" s="1"/>
    </row>
    <row r="7" spans="1:14" x14ac:dyDescent="0.25">
      <c r="A7">
        <f t="shared" si="0"/>
        <v>251</v>
      </c>
      <c r="B7" s="2">
        <f t="shared" si="1"/>
        <v>49027.237354085701</v>
      </c>
      <c r="C7" s="1">
        <f>1/('NTC PAW-A2W-TSOD'!$J$12+'NTC PAW-A2W-TSOD'!$J$13*LN(B7)+'NTC PAW-A2W-TSOD'!$J$14*(LN(B7))^3)-273.15</f>
        <v>-18.273663606514958</v>
      </c>
      <c r="E7" s="2"/>
      <c r="F7" s="1"/>
    </row>
    <row r="8" spans="1:14" x14ac:dyDescent="0.25">
      <c r="A8">
        <f t="shared" si="0"/>
        <v>250</v>
      </c>
      <c r="B8" s="2">
        <f t="shared" si="1"/>
        <v>48832.684824902819</v>
      </c>
      <c r="C8" s="1">
        <f>1/('NTC PAW-A2W-TSOD'!$J$12+'NTC PAW-A2W-TSOD'!$J$13*LN(B8)+'NTC PAW-A2W-TSOD'!$J$14*(LN(B8))^3)-273.15</f>
        <v>-18.198441059553488</v>
      </c>
      <c r="E8" s="2"/>
      <c r="F8" s="1"/>
    </row>
    <row r="9" spans="1:14" x14ac:dyDescent="0.25">
      <c r="A9">
        <f t="shared" si="0"/>
        <v>249</v>
      </c>
      <c r="B9" s="2">
        <f t="shared" si="1"/>
        <v>48638.132295719937</v>
      </c>
      <c r="C9" s="1">
        <f>1/('NTC PAW-A2W-TSOD'!$J$12+'NTC PAW-A2W-TSOD'!$J$13*LN(B9)+'NTC PAW-A2W-TSOD'!$J$14*(LN(B9))^3)-273.15</f>
        <v>-18.122883200417959</v>
      </c>
      <c r="E9" s="2"/>
      <c r="F9" s="1"/>
    </row>
    <row r="10" spans="1:14" x14ac:dyDescent="0.25">
      <c r="A10">
        <f t="shared" si="0"/>
        <v>248</v>
      </c>
      <c r="B10" s="2">
        <f t="shared" si="1"/>
        <v>48443.579766537056</v>
      </c>
      <c r="C10" s="1">
        <f>1/('NTC PAW-A2W-TSOD'!$J$12+'NTC PAW-A2W-TSOD'!$J$13*LN(B10)+'NTC PAW-A2W-TSOD'!$J$14*(LN(B10))^3)-273.15</f>
        <v>-18.046987174232271</v>
      </c>
      <c r="E10" s="2"/>
      <c r="F10" s="1"/>
    </row>
    <row r="11" spans="1:14" x14ac:dyDescent="0.25">
      <c r="A11">
        <f t="shared" si="0"/>
        <v>247</v>
      </c>
      <c r="B11" s="2">
        <f t="shared" si="1"/>
        <v>48249.027237354174</v>
      </c>
      <c r="C11" s="1">
        <f>1/('NTC PAW-A2W-TSOD'!$J$12+'NTC PAW-A2W-TSOD'!$J$13*LN(B11)+'NTC PAW-A2W-TSOD'!$J$14*(LN(B11))^3)-273.15</f>
        <v>-17.970750090173993</v>
      </c>
      <c r="E11" s="2"/>
      <c r="F11" s="1"/>
    </row>
    <row r="12" spans="1:14" x14ac:dyDescent="0.25">
      <c r="A12">
        <f t="shared" si="0"/>
        <v>246</v>
      </c>
      <c r="B12" s="2">
        <f t="shared" si="1"/>
        <v>48054.474708171292</v>
      </c>
      <c r="C12" s="1">
        <f>1/('NTC PAW-A2W-TSOD'!$J$12+'NTC PAW-A2W-TSOD'!$J$13*LN(B12)+'NTC PAW-A2W-TSOD'!$J$14*(LN(B12))^3)-273.15</f>
        <v>-17.894169020873733</v>
      </c>
      <c r="E12" s="2"/>
      <c r="F12" s="1"/>
    </row>
    <row r="13" spans="1:14" x14ac:dyDescent="0.25">
      <c r="A13">
        <f t="shared" si="0"/>
        <v>245</v>
      </c>
      <c r="B13" s="2">
        <f t="shared" si="1"/>
        <v>47859.92217898841</v>
      </c>
      <c r="C13" s="1">
        <f>1/('NTC PAW-A2W-TSOD'!$J$12+'NTC PAW-A2W-TSOD'!$J$13*LN(B13)+'NTC PAW-A2W-TSOD'!$J$14*(LN(B13))^3)-273.15</f>
        <v>-17.817241001803069</v>
      </c>
      <c r="E13" s="2"/>
      <c r="F13" s="1"/>
    </row>
    <row r="14" spans="1:14" x14ac:dyDescent="0.25">
      <c r="A14">
        <f t="shared" si="0"/>
        <v>244</v>
      </c>
      <c r="B14" s="2">
        <f t="shared" si="1"/>
        <v>47665.369649805529</v>
      </c>
      <c r="C14" s="1">
        <f>1/('NTC PAW-A2W-TSOD'!$J$12+'NTC PAW-A2W-TSOD'!$J$13*LN(B14)+'NTC PAW-A2W-TSOD'!$J$14*(LN(B14))^3)-273.15</f>
        <v>-17.739963030648397</v>
      </c>
      <c r="E14" s="2"/>
      <c r="F14" s="1"/>
    </row>
    <row r="15" spans="1:14" x14ac:dyDescent="0.25">
      <c r="A15">
        <f t="shared" si="0"/>
        <v>243</v>
      </c>
      <c r="B15" s="2">
        <f t="shared" si="1"/>
        <v>47470.817120622647</v>
      </c>
      <c r="C15" s="1">
        <f>1/('NTC PAW-A2W-TSOD'!$J$12+'NTC PAW-A2W-TSOD'!$J$13*LN(B15)+'NTC PAW-A2W-TSOD'!$J$14*(LN(B15))^3)-273.15</f>
        <v>-17.662332066672832</v>
      </c>
      <c r="E15" s="2"/>
      <c r="F15" s="1"/>
    </row>
    <row r="16" spans="1:14" x14ac:dyDescent="0.25">
      <c r="A16">
        <f t="shared" si="0"/>
        <v>242</v>
      </c>
      <c r="B16" s="2">
        <f t="shared" si="1"/>
        <v>47276.264591439765</v>
      </c>
      <c r="C16" s="1">
        <f>1/('NTC PAW-A2W-TSOD'!$J$12+'NTC PAW-A2W-TSOD'!$J$13*LN(B16)+'NTC PAW-A2W-TSOD'!$J$14*(LN(B16))^3)-273.15</f>
        <v>-17.584345030063673</v>
      </c>
      <c r="E16" s="2"/>
      <c r="F16" s="1"/>
    </row>
    <row r="17" spans="1:7" x14ac:dyDescent="0.25">
      <c r="A17">
        <f t="shared" si="0"/>
        <v>241</v>
      </c>
      <c r="B17" s="2">
        <f t="shared" si="1"/>
        <v>47081.712062256884</v>
      </c>
      <c r="C17" s="1">
        <f>1/('NTC PAW-A2W-TSOD'!$J$12+'NTC PAW-A2W-TSOD'!$J$13*LN(B17)+'NTC PAW-A2W-TSOD'!$J$14*(LN(B17))^3)-273.15</f>
        <v>-17.505998801266799</v>
      </c>
      <c r="E17" s="2"/>
      <c r="F17" s="1"/>
    </row>
    <row r="18" spans="1:7" x14ac:dyDescent="0.25">
      <c r="A18">
        <f t="shared" si="0"/>
        <v>240</v>
      </c>
      <c r="B18" s="2">
        <f t="shared" si="1"/>
        <v>46887.159533074002</v>
      </c>
      <c r="C18" s="1">
        <f>1/('NTC PAW-A2W-TSOD'!$J$12+'NTC PAW-A2W-TSOD'!$J$13*LN(B18)+'NTC PAW-A2W-TSOD'!$J$14*(LN(B18))^3)-273.15</f>
        <v>-17.427290220306503</v>
      </c>
      <c r="E18" s="2"/>
      <c r="F18" s="1"/>
    </row>
    <row r="19" spans="1:7" x14ac:dyDescent="0.25">
      <c r="A19">
        <f t="shared" si="0"/>
        <v>239</v>
      </c>
      <c r="B19" s="2">
        <f t="shared" si="1"/>
        <v>46692.60700389112</v>
      </c>
      <c r="C19" s="1">
        <f>1/('NTC PAW-A2W-TSOD'!$J$12+'NTC PAW-A2W-TSOD'!$J$13*LN(B19)+'NTC PAW-A2W-TSOD'!$J$14*(LN(B19))^3)-273.15</f>
        <v>-17.348216086090616</v>
      </c>
      <c r="E19" s="2"/>
      <c r="F19" s="1"/>
    </row>
    <row r="20" spans="1:7" x14ac:dyDescent="0.25">
      <c r="A20">
        <f t="shared" si="0"/>
        <v>238</v>
      </c>
      <c r="B20" s="2">
        <f t="shared" si="1"/>
        <v>46498.054474708239</v>
      </c>
      <c r="C20" s="1">
        <f>1/('NTC PAW-A2W-TSOD'!$J$12+'NTC PAW-A2W-TSOD'!$J$13*LN(B20)+'NTC PAW-A2W-TSOD'!$J$14*(LN(B20))^3)-273.15</f>
        <v>-17.268773155701552</v>
      </c>
      <c r="E20" s="2"/>
      <c r="F20" s="1"/>
    </row>
    <row r="21" spans="1:7" x14ac:dyDescent="0.25">
      <c r="A21">
        <f t="shared" si="0"/>
        <v>237</v>
      </c>
      <c r="B21" s="2">
        <f t="shared" si="1"/>
        <v>46303.501945525357</v>
      </c>
      <c r="C21" s="1">
        <f>1/('NTC PAW-A2W-TSOD'!$J$12+'NTC PAW-A2W-TSOD'!$J$13*LN(B21)+'NTC PAW-A2W-TSOD'!$J$14*(LN(B21))^3)-273.15</f>
        <v>-17.188958143670959</v>
      </c>
      <c r="E21" s="2"/>
      <c r="F21" s="1"/>
    </row>
    <row r="22" spans="1:7" x14ac:dyDescent="0.25">
      <c r="A22">
        <f t="shared" si="0"/>
        <v>236</v>
      </c>
      <c r="B22" s="2">
        <f t="shared" si="1"/>
        <v>46108.949416342475</v>
      </c>
      <c r="C22" s="1">
        <f>1/('NTC PAW-A2W-TSOD'!$J$12+'NTC PAW-A2W-TSOD'!$J$13*LN(B22)+'NTC PAW-A2W-TSOD'!$J$14*(LN(B22))^3)-273.15</f>
        <v>-17.108767721239587</v>
      </c>
      <c r="E22" s="2"/>
      <c r="F22" s="1"/>
    </row>
    <row r="23" spans="1:7" x14ac:dyDescent="0.25">
      <c r="A23">
        <f t="shared" si="0"/>
        <v>235</v>
      </c>
      <c r="B23" s="2">
        <f t="shared" si="1"/>
        <v>45914.396887159593</v>
      </c>
      <c r="C23" s="1">
        <f>1/('NTC PAW-A2W-TSOD'!$J$12+'NTC PAW-A2W-TSOD'!$J$13*LN(B23)+'NTC PAW-A2W-TSOD'!$J$14*(LN(B23))^3)-273.15</f>
        <v>-17.02819851560082</v>
      </c>
      <c r="E23" s="2"/>
      <c r="F23" s="1"/>
    </row>
    <row r="24" spans="1:7" x14ac:dyDescent="0.25">
      <c r="A24">
        <f t="shared" si="0"/>
        <v>234</v>
      </c>
      <c r="B24" s="2">
        <f t="shared" si="1"/>
        <v>45719.844357976712</v>
      </c>
      <c r="C24" s="1">
        <f>1/('NTC PAW-A2W-TSOD'!$J$12+'NTC PAW-A2W-TSOD'!$J$13*LN(B24)+'NTC PAW-A2W-TSOD'!$J$14*(LN(B24))^3)-273.15</f>
        <v>-16.947247109127318</v>
      </c>
      <c r="E24" s="2"/>
      <c r="F24" s="1"/>
    </row>
    <row r="25" spans="1:7" x14ac:dyDescent="0.25">
      <c r="A25">
        <f t="shared" si="0"/>
        <v>233</v>
      </c>
      <c r="B25" s="2">
        <f t="shared" si="1"/>
        <v>45525.29182879383</v>
      </c>
      <c r="C25" s="1">
        <f>1/('NTC PAW-A2W-TSOD'!$J$12+'NTC PAW-A2W-TSOD'!$J$13*LN(B25)+'NTC PAW-A2W-TSOD'!$J$14*(LN(B25))^3)-273.15</f>
        <v>-16.865910038581546</v>
      </c>
      <c r="E25" s="2"/>
      <c r="F25" s="1"/>
    </row>
    <row r="26" spans="1:7" x14ac:dyDescent="0.25">
      <c r="A26">
        <f t="shared" si="0"/>
        <v>232</v>
      </c>
      <c r="B26" s="2">
        <f t="shared" si="1"/>
        <v>45330.739299610948</v>
      </c>
      <c r="C26" s="1">
        <f>1/('NTC PAW-A2W-TSOD'!$J$12+'NTC PAW-A2W-TSOD'!$J$13*LN(B26)+'NTC PAW-A2W-TSOD'!$J$14*(LN(B26))^3)-273.15</f>
        <v>-16.784183794307864</v>
      </c>
      <c r="E26" s="2"/>
      <c r="F26" s="1"/>
    </row>
    <row r="27" spans="1:7" x14ac:dyDescent="0.25">
      <c r="A27">
        <f t="shared" si="0"/>
        <v>231</v>
      </c>
      <c r="B27" s="2">
        <f t="shared" si="1"/>
        <v>45136.186770428067</v>
      </c>
      <c r="C27" s="1">
        <f>1/('NTC PAW-A2W-TSOD'!$J$12+'NTC PAW-A2W-TSOD'!$J$13*LN(B27)+'NTC PAW-A2W-TSOD'!$J$14*(LN(B27))^3)-273.15</f>
        <v>-16.702064819407894</v>
      </c>
      <c r="E27" s="2"/>
      <c r="F27" s="1"/>
    </row>
    <row r="28" spans="1:7" x14ac:dyDescent="0.25">
      <c r="A28">
        <f t="shared" si="0"/>
        <v>230</v>
      </c>
      <c r="B28" s="2">
        <f t="shared" si="1"/>
        <v>44941.634241245185</v>
      </c>
      <c r="C28" s="1">
        <f>1/('NTC PAW-A2W-TSOD'!$J$12+'NTC PAW-A2W-TSOD'!$J$13*LN(B28)+'NTC PAW-A2W-TSOD'!$J$14*(LN(B28))^3)-273.15</f>
        <v>-16.619549508896739</v>
      </c>
      <c r="E28" s="2"/>
      <c r="F28" s="1"/>
    </row>
    <row r="29" spans="1:7" x14ac:dyDescent="0.25">
      <c r="A29">
        <f t="shared" si="0"/>
        <v>229</v>
      </c>
      <c r="B29" s="2">
        <f t="shared" si="1"/>
        <v>44747.081712062303</v>
      </c>
      <c r="C29" s="1">
        <f>1/('NTC PAW-A2W-TSOD'!$J$12+'NTC PAW-A2W-TSOD'!$J$13*LN(B29)+'NTC PAW-A2W-TSOD'!$J$14*(LN(B29))^3)-273.15</f>
        <v>-16.536634208840724</v>
      </c>
      <c r="E29" s="2"/>
      <c r="F29" s="1"/>
    </row>
    <row r="30" spans="1:7" x14ac:dyDescent="0.25">
      <c r="A30">
        <f t="shared" si="0"/>
        <v>228</v>
      </c>
      <c r="B30" s="2">
        <f t="shared" si="1"/>
        <v>44552.529182879422</v>
      </c>
      <c r="C30" s="1">
        <f>1/('NTC PAW-A2W-TSOD'!$J$12+'NTC PAW-A2W-TSOD'!$J$13*LN(B30)+'NTC PAW-A2W-TSOD'!$J$14*(LN(B30))^3)-273.15</f>
        <v>-16.453315215475868</v>
      </c>
      <c r="E30" s="2"/>
      <c r="F30" s="1"/>
    </row>
    <row r="31" spans="1:7" x14ac:dyDescent="0.25">
      <c r="A31">
        <f t="shared" si="0"/>
        <v>227</v>
      </c>
      <c r="B31" s="2">
        <f t="shared" si="1"/>
        <v>44357.97665369654</v>
      </c>
      <c r="C31" s="1">
        <f>1/('NTC PAW-A2W-TSOD'!$J$12+'NTC PAW-A2W-TSOD'!$J$13*LN(B31)+'NTC PAW-A2W-TSOD'!$J$14*(LN(B31))^3)-273.15</f>
        <v>-16.369588774306749</v>
      </c>
      <c r="E31" s="2"/>
      <c r="F31" s="1"/>
    </row>
    <row r="32" spans="1:7" x14ac:dyDescent="0.25">
      <c r="A32">
        <f t="shared" si="0"/>
        <v>226</v>
      </c>
      <c r="B32" s="2">
        <f t="shared" si="1"/>
        <v>44163.424124513658</v>
      </c>
      <c r="C32" s="1">
        <f>1/('NTC PAW-A2W-TSOD'!$J$12+'NTC PAW-A2W-TSOD'!$J$13*LN(B32)+'NTC PAW-A2W-TSOD'!$J$14*(LN(B32))^3)-273.15</f>
        <v>-16.285451079184327</v>
      </c>
      <c r="D32" s="1"/>
      <c r="F32" s="2"/>
      <c r="G32" s="1"/>
    </row>
    <row r="33" spans="1:7" x14ac:dyDescent="0.25">
      <c r="A33">
        <f t="shared" si="0"/>
        <v>225</v>
      </c>
      <c r="B33" s="2">
        <f t="shared" si="1"/>
        <v>43968.871595330776</v>
      </c>
      <c r="C33" s="1">
        <f>1/('NTC PAW-A2W-TSOD'!$J$12+'NTC PAW-A2W-TSOD'!$J$13*LN(B33)+'NTC PAW-A2W-TSOD'!$J$14*(LN(B33))^3)-273.15</f>
        <v>-16.200898271363656</v>
      </c>
      <c r="D33" s="1"/>
      <c r="F33" s="2"/>
      <c r="G33" s="1"/>
    </row>
    <row r="34" spans="1:7" x14ac:dyDescent="0.25">
      <c r="A34">
        <f t="shared" si="0"/>
        <v>224</v>
      </c>
      <c r="B34" s="2">
        <f t="shared" si="1"/>
        <v>43774.319066147895</v>
      </c>
      <c r="C34" s="1">
        <f>1/('NTC PAW-A2W-TSOD'!$J$12+'NTC PAW-A2W-TSOD'!$J$13*LN(B34)+'NTC PAW-A2W-TSOD'!$J$14*(LN(B34))^3)-273.15</f>
        <v>-16.115926438539589</v>
      </c>
      <c r="D34" s="1"/>
      <c r="F34" s="2"/>
      <c r="G34" s="1"/>
    </row>
    <row r="35" spans="1:7" x14ac:dyDescent="0.25">
      <c r="A35">
        <f t="shared" si="0"/>
        <v>223</v>
      </c>
      <c r="B35" s="2">
        <f t="shared" si="1"/>
        <v>43579.766536965013</v>
      </c>
      <c r="C35" s="1">
        <f>1/('NTC PAW-A2W-TSOD'!$J$12+'NTC PAW-A2W-TSOD'!$J$13*LN(B35)+'NTC PAW-A2W-TSOD'!$J$14*(LN(B35))^3)-273.15</f>
        <v>-16.03053161386066</v>
      </c>
      <c r="D35" s="1"/>
      <c r="F35" s="2"/>
      <c r="G35" s="1"/>
    </row>
    <row r="36" spans="1:7" x14ac:dyDescent="0.25">
      <c r="A36">
        <f t="shared" si="0"/>
        <v>222</v>
      </c>
      <c r="B36" s="2">
        <f t="shared" si="1"/>
        <v>43385.214007782131</v>
      </c>
      <c r="C36" s="1">
        <f>1/('NTC PAW-A2W-TSOD'!$J$12+'NTC PAW-A2W-TSOD'!$J$13*LN(B36)+'NTC PAW-A2W-TSOD'!$J$14*(LN(B36))^3)-273.15</f>
        <v>-15.944709774920341</v>
      </c>
      <c r="D36" s="1"/>
      <c r="F36" s="2"/>
      <c r="G36" s="1"/>
    </row>
    <row r="37" spans="1:7" x14ac:dyDescent="0.25">
      <c r="A37">
        <f t="shared" si="0"/>
        <v>221</v>
      </c>
      <c r="B37" s="2">
        <f t="shared" si="1"/>
        <v>43190.66147859925</v>
      </c>
      <c r="C37" s="1">
        <f>1/('NTC PAW-A2W-TSOD'!$J$12+'NTC PAW-A2W-TSOD'!$J$13*LN(B37)+'NTC PAW-A2W-TSOD'!$J$14*(LN(B37))^3)-273.15</f>
        <v>-15.858456842724877</v>
      </c>
      <c r="D37" s="1"/>
      <c r="F37" s="2"/>
      <c r="G37" s="1"/>
    </row>
    <row r="38" spans="1:7" x14ac:dyDescent="0.25">
      <c r="A38">
        <f t="shared" si="0"/>
        <v>220</v>
      </c>
      <c r="B38" s="2">
        <f t="shared" si="1"/>
        <v>42996.108949416368</v>
      </c>
      <c r="C38" s="1">
        <f>1/('NTC PAW-A2W-TSOD'!$J$12+'NTC PAW-A2W-TSOD'!$J$13*LN(B38)+'NTC PAW-A2W-TSOD'!$J$14*(LN(B38))^3)-273.15</f>
        <v>-15.771768680637194</v>
      </c>
      <c r="D38" s="1"/>
      <c r="F38" s="2"/>
      <c r="G38" s="1"/>
    </row>
    <row r="39" spans="1:7" x14ac:dyDescent="0.25">
      <c r="A39">
        <f t="shared" si="0"/>
        <v>219</v>
      </c>
      <c r="B39" s="2">
        <f t="shared" si="1"/>
        <v>42801.556420233486</v>
      </c>
      <c r="C39" s="1">
        <f>1/('NTC PAW-A2W-TSOD'!$J$12+'NTC PAW-A2W-TSOD'!$J$13*LN(B39)+'NTC PAW-A2W-TSOD'!$J$14*(LN(B39))^3)-273.15</f>
        <v>-15.684641093296193</v>
      </c>
      <c r="D39" s="1"/>
      <c r="F39" s="2"/>
      <c r="G39" s="1"/>
    </row>
    <row r="40" spans="1:7" x14ac:dyDescent="0.25">
      <c r="A40">
        <f t="shared" si="0"/>
        <v>218</v>
      </c>
      <c r="B40" s="2">
        <f t="shared" si="1"/>
        <v>42607.003891050605</v>
      </c>
      <c r="C40" s="1">
        <f>1/('NTC PAW-A2W-TSOD'!$J$12+'NTC PAW-A2W-TSOD'!$J$13*LN(B40)+'NTC PAW-A2W-TSOD'!$J$14*(LN(B40))^3)-273.15</f>
        <v>-15.597069825511028</v>
      </c>
      <c r="D40" s="1"/>
      <c r="F40" s="2"/>
      <c r="G40" s="1"/>
    </row>
    <row r="41" spans="1:7" x14ac:dyDescent="0.25">
      <c r="A41">
        <f t="shared" si="0"/>
        <v>217</v>
      </c>
      <c r="B41" s="2">
        <f t="shared" si="1"/>
        <v>42412.451361867723</v>
      </c>
      <c r="C41" s="1">
        <f>1/('NTC PAW-A2W-TSOD'!$J$12+'NTC PAW-A2W-TSOD'!$J$13*LN(B41)+'NTC PAW-A2W-TSOD'!$J$14*(LN(B41))^3)-273.15</f>
        <v>-15.509050561128959</v>
      </c>
      <c r="D41" s="1"/>
    </row>
    <row r="42" spans="1:7" x14ac:dyDescent="0.25">
      <c r="A42">
        <f t="shared" si="0"/>
        <v>216</v>
      </c>
      <c r="B42" s="2">
        <f t="shared" si="1"/>
        <v>42217.898832684841</v>
      </c>
      <c r="C42" s="1">
        <f>1/('NTC PAW-A2W-TSOD'!$J$12+'NTC PAW-A2W-TSOD'!$J$13*LN(B42)+'NTC PAW-A2W-TSOD'!$J$14*(LN(B42))^3)-273.15</f>
        <v>-15.420578921876768</v>
      </c>
      <c r="D42" s="1"/>
    </row>
    <row r="43" spans="1:7" x14ac:dyDescent="0.25">
      <c r="A43">
        <f t="shared" si="0"/>
        <v>215</v>
      </c>
      <c r="B43" s="2">
        <f t="shared" si="1"/>
        <v>42023.346303501959</v>
      </c>
      <c r="C43" s="1">
        <f>1/('NTC PAW-A2W-TSOD'!$J$12+'NTC PAW-A2W-TSOD'!$J$13*LN(B43)+'NTC PAW-A2W-TSOD'!$J$14*(LN(B43))^3)-273.15</f>
        <v>-15.331650466174437</v>
      </c>
      <c r="D43" s="1"/>
      <c r="F43" s="2"/>
      <c r="G43" s="1"/>
    </row>
    <row r="44" spans="1:7" x14ac:dyDescent="0.25">
      <c r="A44">
        <f t="shared" si="0"/>
        <v>214</v>
      </c>
      <c r="B44" s="2">
        <f t="shared" si="1"/>
        <v>41828.793774319078</v>
      </c>
      <c r="C44" s="1">
        <f>1/('NTC PAW-A2W-TSOD'!$J$12+'NTC PAW-A2W-TSOD'!$J$13*LN(B44)+'NTC PAW-A2W-TSOD'!$J$14*(LN(B44))^3)-273.15</f>
        <v>-15.242260687920975</v>
      </c>
      <c r="D44" s="1"/>
      <c r="F44" s="2"/>
      <c r="G44" s="1"/>
    </row>
    <row r="45" spans="1:7" x14ac:dyDescent="0.25">
      <c r="A45">
        <f t="shared" si="0"/>
        <v>213</v>
      </c>
      <c r="B45" s="2">
        <f t="shared" si="1"/>
        <v>41634.241245136196</v>
      </c>
      <c r="C45" s="1">
        <f>1/('NTC PAW-A2W-TSOD'!$J$12+'NTC PAW-A2W-TSOD'!$J$13*LN(B45)+'NTC PAW-A2W-TSOD'!$J$14*(LN(B45))^3)-273.15</f>
        <v>-15.152405015250793</v>
      </c>
      <c r="D45" s="1"/>
    </row>
    <row r="46" spans="1:7" x14ac:dyDescent="0.25">
      <c r="A46">
        <f t="shared" si="0"/>
        <v>212</v>
      </c>
      <c r="B46" s="2">
        <f t="shared" si="1"/>
        <v>41439.688715953314</v>
      </c>
      <c r="C46" s="1">
        <f>1/('NTC PAW-A2W-TSOD'!$J$12+'NTC PAW-A2W-TSOD'!$J$13*LN(B46)+'NTC PAW-A2W-TSOD'!$J$14*(LN(B46))^3)-273.15</f>
        <v>-15.062078809260072</v>
      </c>
      <c r="D46" s="1"/>
    </row>
    <row r="47" spans="1:7" x14ac:dyDescent="0.25">
      <c r="A47">
        <f t="shared" si="0"/>
        <v>211</v>
      </c>
      <c r="B47" s="2">
        <f t="shared" si="1"/>
        <v>41245.136186770433</v>
      </c>
      <c r="C47" s="1">
        <f>1/('NTC PAW-A2W-TSOD'!$J$12+'NTC PAW-A2W-TSOD'!$J$13*LN(B47)+'NTC PAW-A2W-TSOD'!$J$14*(LN(B47))^3)-273.15</f>
        <v>-14.971277362702722</v>
      </c>
      <c r="D47" s="1"/>
      <c r="F47" s="2"/>
      <c r="G47" s="1"/>
    </row>
    <row r="48" spans="1:7" x14ac:dyDescent="0.25">
      <c r="A48">
        <f t="shared" si="0"/>
        <v>210</v>
      </c>
      <c r="B48" s="2">
        <f t="shared" si="1"/>
        <v>41050.583657587551</v>
      </c>
      <c r="C48" s="1">
        <f>1/('NTC PAW-A2W-TSOD'!$J$12+'NTC PAW-A2W-TSOD'!$J$13*LN(B48)+'NTC PAW-A2W-TSOD'!$J$14*(LN(B48))^3)-273.15</f>
        <v>-14.879995898654442</v>
      </c>
      <c r="E48" s="2"/>
      <c r="F48" s="1"/>
    </row>
    <row r="49" spans="1:6" x14ac:dyDescent="0.25">
      <c r="A49">
        <f t="shared" si="0"/>
        <v>209</v>
      </c>
      <c r="B49" s="2">
        <f t="shared" si="1"/>
        <v>40856.031128404669</v>
      </c>
      <c r="C49" s="1">
        <f>1/('NTC PAW-A2W-TSOD'!$J$12+'NTC PAW-A2W-TSOD'!$J$13*LN(B49)+'NTC PAW-A2W-TSOD'!$J$14*(LN(B49))^3)-273.15</f>
        <v>-14.788229569144164</v>
      </c>
      <c r="E49" s="2"/>
      <c r="F49" s="1"/>
    </row>
    <row r="50" spans="1:6" x14ac:dyDescent="0.25">
      <c r="A50">
        <f t="shared" si="0"/>
        <v>208</v>
      </c>
      <c r="B50" s="2">
        <f t="shared" si="1"/>
        <v>40661.478599221788</v>
      </c>
      <c r="C50" s="1">
        <f>1/('NTC PAW-A2W-TSOD'!$J$12+'NTC PAW-A2W-TSOD'!$J$13*LN(B50)+'NTC PAW-A2W-TSOD'!$J$14*(LN(B50))^3)-273.15</f>
        <v>-14.695973453752117</v>
      </c>
      <c r="E50" s="2"/>
      <c r="F50" s="1"/>
    </row>
    <row r="51" spans="1:6" x14ac:dyDescent="0.25">
      <c r="A51">
        <f t="shared" si="0"/>
        <v>207</v>
      </c>
      <c r="B51" s="2">
        <f t="shared" si="1"/>
        <v>40466.926070038906</v>
      </c>
      <c r="C51" s="1">
        <f>1/('NTC PAW-A2W-TSOD'!$J$12+'NTC PAW-A2W-TSOD'!$J$13*LN(B51)+'NTC PAW-A2W-TSOD'!$J$14*(LN(B51))^3)-273.15</f>
        <v>-14.603222558172831</v>
      </c>
      <c r="E51" s="2"/>
      <c r="F51" s="1"/>
    </row>
    <row r="52" spans="1:6" x14ac:dyDescent="0.25">
      <c r="A52">
        <f t="shared" si="0"/>
        <v>206</v>
      </c>
      <c r="B52" s="2">
        <f t="shared" si="1"/>
        <v>40272.373540856024</v>
      </c>
      <c r="C52" s="1">
        <f>1/('NTC PAW-A2W-TSOD'!$J$12+'NTC PAW-A2W-TSOD'!$J$13*LN(B52)+'NTC PAW-A2W-TSOD'!$J$14*(LN(B52))^3)-273.15</f>
        <v>-14.509971812743572</v>
      </c>
      <c r="E52" s="2"/>
      <c r="F52" s="1"/>
    </row>
    <row r="53" spans="1:6" x14ac:dyDescent="0.25">
      <c r="A53">
        <f t="shared" si="0"/>
        <v>205</v>
      </c>
      <c r="B53" s="2">
        <f t="shared" si="1"/>
        <v>40077.821011673142</v>
      </c>
      <c r="C53" s="1">
        <f>1/('NTC PAW-A2W-TSOD'!$J$12+'NTC PAW-A2W-TSOD'!$J$13*LN(B53)+'NTC PAW-A2W-TSOD'!$J$14*(LN(B53))^3)-273.15</f>
        <v>-14.416216070934809</v>
      </c>
      <c r="E53" s="2"/>
      <c r="F53" s="1"/>
    </row>
    <row r="54" spans="1:6" x14ac:dyDescent="0.25">
      <c r="A54">
        <f t="shared" si="0"/>
        <v>204</v>
      </c>
      <c r="B54" s="2">
        <f t="shared" si="1"/>
        <v>39883.268482490261</v>
      </c>
      <c r="C54" s="1">
        <f>1/('NTC PAW-A2W-TSOD'!$J$12+'NTC PAW-A2W-TSOD'!$J$13*LN(B54)+'NTC PAW-A2W-TSOD'!$J$14*(LN(B54))^3)-273.15</f>
        <v>-14.321950107804298</v>
      </c>
      <c r="E54" s="2"/>
      <c r="F54" s="1"/>
    </row>
    <row r="55" spans="1:6" x14ac:dyDescent="0.25">
      <c r="A55">
        <f t="shared" si="0"/>
        <v>203</v>
      </c>
      <c r="B55" s="2">
        <f t="shared" si="1"/>
        <v>39688.715953307379</v>
      </c>
      <c r="C55" s="1">
        <f>1/('NTC PAW-A2W-TSOD'!$J$12+'NTC PAW-A2W-TSOD'!$J$13*LN(B55)+'NTC PAW-A2W-TSOD'!$J$14*(LN(B55))^3)-273.15</f>
        <v>-14.22716861841127</v>
      </c>
      <c r="E55" s="2"/>
      <c r="F55" s="1"/>
    </row>
    <row r="56" spans="1:6" x14ac:dyDescent="0.25">
      <c r="A56">
        <f t="shared" si="0"/>
        <v>202</v>
      </c>
      <c r="B56" s="2">
        <f t="shared" si="1"/>
        <v>39494.163424124497</v>
      </c>
      <c r="C56" s="1">
        <f>1/('NTC PAW-A2W-TSOD'!$J$12+'NTC PAW-A2W-TSOD'!$J$13*LN(B56)+'NTC PAW-A2W-TSOD'!$J$14*(LN(B56))^3)-273.15</f>
        <v>-14.131866216191384</v>
      </c>
      <c r="E56" s="2"/>
      <c r="F56" s="1"/>
    </row>
    <row r="57" spans="1:6" x14ac:dyDescent="0.25">
      <c r="A57">
        <f t="shared" si="0"/>
        <v>201</v>
      </c>
      <c r="B57" s="2">
        <f t="shared" si="1"/>
        <v>39299.610894941616</v>
      </c>
      <c r="C57" s="1">
        <f>1/('NTC PAW-A2W-TSOD'!$J$12+'NTC PAW-A2W-TSOD'!$J$13*LN(B57)+'NTC PAW-A2W-TSOD'!$J$14*(LN(B57))^3)-273.15</f>
        <v>-14.036037431289685</v>
      </c>
      <c r="E57" s="2"/>
      <c r="F57" s="1"/>
    </row>
    <row r="58" spans="1:6" x14ac:dyDescent="0.25">
      <c r="A58">
        <f t="shared" si="0"/>
        <v>200</v>
      </c>
      <c r="B58" s="2">
        <f t="shared" si="1"/>
        <v>39105.058365758734</v>
      </c>
      <c r="C58" s="1">
        <f>1/('NTC PAW-A2W-TSOD'!$J$12+'NTC PAW-A2W-TSOD'!$J$13*LN(B58)+'NTC PAW-A2W-TSOD'!$J$14*(LN(B58))^3)-273.15</f>
        <v>-13.939676708851664</v>
      </c>
      <c r="E58" s="2"/>
      <c r="F58" s="1"/>
    </row>
    <row r="59" spans="1:6" x14ac:dyDescent="0.25">
      <c r="A59">
        <f t="shared" si="0"/>
        <v>199</v>
      </c>
      <c r="B59" s="2">
        <f t="shared" si="1"/>
        <v>38910.505836575852</v>
      </c>
      <c r="C59" s="1">
        <f>1/('NTC PAW-A2W-TSOD'!$J$12+'NTC PAW-A2W-TSOD'!$J$13*LN(B59)+'NTC PAW-A2W-TSOD'!$J$14*(LN(B59))^3)-273.15</f>
        <v>-13.84277840727043</v>
      </c>
      <c r="E59" s="2"/>
      <c r="F59" s="1"/>
    </row>
    <row r="60" spans="1:6" x14ac:dyDescent="0.25">
      <c r="A60">
        <f t="shared" si="0"/>
        <v>198</v>
      </c>
      <c r="B60" s="2">
        <f t="shared" si="1"/>
        <v>38715.953307392971</v>
      </c>
      <c r="C60" s="1">
        <f>1/('NTC PAW-A2W-TSOD'!$J$12+'NTC PAW-A2W-TSOD'!$J$13*LN(B60)+'NTC PAW-A2W-TSOD'!$J$14*(LN(B60))^3)-273.15</f>
        <v>-13.745336796388301</v>
      </c>
      <c r="E60" s="2"/>
      <c r="F60" s="1"/>
    </row>
    <row r="61" spans="1:6" x14ac:dyDescent="0.25">
      <c r="A61">
        <f t="shared" si="0"/>
        <v>197</v>
      </c>
      <c r="B61" s="2">
        <f t="shared" si="1"/>
        <v>38521.400778210089</v>
      </c>
      <c r="C61" s="1">
        <f>1/('NTC PAW-A2W-TSOD'!$J$12+'NTC PAW-A2W-TSOD'!$J$13*LN(B61)+'NTC PAW-A2W-TSOD'!$J$14*(LN(B61))^3)-273.15</f>
        <v>-13.64734605565252</v>
      </c>
      <c r="E61" s="2"/>
      <c r="F61" s="1"/>
    </row>
    <row r="62" spans="1:6" x14ac:dyDescent="0.25">
      <c r="A62">
        <f t="shared" si="0"/>
        <v>196</v>
      </c>
      <c r="B62" s="2">
        <f t="shared" si="1"/>
        <v>38326.848249027207</v>
      </c>
      <c r="C62" s="1">
        <f>1/('NTC PAW-A2W-TSOD'!$J$12+'NTC PAW-A2W-TSOD'!$J$13*LN(B62)+'NTC PAW-A2W-TSOD'!$J$14*(LN(B62))^3)-273.15</f>
        <v>-13.548800272222309</v>
      </c>
      <c r="E62" s="2"/>
      <c r="F62" s="1"/>
    </row>
    <row r="63" spans="1:6" x14ac:dyDescent="0.25">
      <c r="A63">
        <f t="shared" si="0"/>
        <v>195</v>
      </c>
      <c r="B63" s="2">
        <f t="shared" si="1"/>
        <v>38132.295719844326</v>
      </c>
      <c r="C63" s="1">
        <f>1/('NTC PAW-A2W-TSOD'!$J$12+'NTC PAW-A2W-TSOD'!$J$13*LN(B63)+'NTC PAW-A2W-TSOD'!$J$14*(LN(B63))^3)-273.15</f>
        <v>-13.449693439027101</v>
      </c>
      <c r="E63" s="2"/>
      <c r="F63" s="1"/>
    </row>
    <row r="64" spans="1:6" x14ac:dyDescent="0.25">
      <c r="A64">
        <f t="shared" si="0"/>
        <v>194</v>
      </c>
      <c r="B64" s="2">
        <f t="shared" si="1"/>
        <v>37937.743190661444</v>
      </c>
      <c r="C64" s="1">
        <f>1/('NTC PAW-A2W-TSOD'!$J$12+'NTC PAW-A2W-TSOD'!$J$13*LN(B64)+'NTC PAW-A2W-TSOD'!$J$14*(LN(B64))^3)-273.15</f>
        <v>-13.35001945277304</v>
      </c>
      <c r="E64" s="2"/>
      <c r="F64" s="1"/>
    </row>
    <row r="65" spans="1:6" x14ac:dyDescent="0.25">
      <c r="A65">
        <f t="shared" si="0"/>
        <v>193</v>
      </c>
      <c r="B65" s="2">
        <f t="shared" si="1"/>
        <v>37743.190661478562</v>
      </c>
      <c r="C65" s="1">
        <f>1/('NTC PAW-A2W-TSOD'!$J$12+'NTC PAW-A2W-TSOD'!$J$13*LN(B65)+'NTC PAW-A2W-TSOD'!$J$14*(LN(B65))^3)-273.15</f>
        <v>-13.249772111897357</v>
      </c>
      <c r="E65" s="2"/>
      <c r="F65" s="1"/>
    </row>
    <row r="66" spans="1:6" x14ac:dyDescent="0.25">
      <c r="A66">
        <f t="shared" ref="A66:A129" si="2">A67+1</f>
        <v>192</v>
      </c>
      <c r="B66" s="2">
        <f t="shared" ref="B66:B129" si="3">B67+$H$2</f>
        <v>37548.63813229568</v>
      </c>
      <c r="C66" s="1">
        <f>1/('NTC PAW-A2W-TSOD'!$J$12+'NTC PAW-A2W-TSOD'!$J$13*LN(B66)+'NTC PAW-A2W-TSOD'!$J$14*(LN(B66))^3)-273.15</f>
        <v>-13.14894511446829</v>
      </c>
      <c r="E66" s="2"/>
      <c r="F66" s="1"/>
    </row>
    <row r="67" spans="1:6" x14ac:dyDescent="0.25">
      <c r="A67">
        <f t="shared" si="2"/>
        <v>191</v>
      </c>
      <c r="B67" s="2">
        <f t="shared" si="3"/>
        <v>37354.085603112799</v>
      </c>
      <c r="C67" s="1">
        <f>1/('NTC PAW-A2W-TSOD'!$J$12+'NTC PAW-A2W-TSOD'!$J$13*LN(B67)+'NTC PAW-A2W-TSOD'!$J$14*(LN(B67))^3)-273.15</f>
        <v>-13.047532056028729</v>
      </c>
      <c r="E67" s="2"/>
      <c r="F67" s="1"/>
    </row>
    <row r="68" spans="1:6" x14ac:dyDescent="0.25">
      <c r="A68">
        <f t="shared" si="2"/>
        <v>190</v>
      </c>
      <c r="B68" s="2">
        <f t="shared" si="3"/>
        <v>37159.533073929917</v>
      </c>
      <c r="C68" s="1">
        <f>1/('NTC PAW-A2W-TSOD'!$J$12+'NTC PAW-A2W-TSOD'!$J$13*LN(B68)+'NTC PAW-A2W-TSOD'!$J$14*(LN(B68))^3)-273.15</f>
        <v>-12.94552642738239</v>
      </c>
      <c r="E68" s="2"/>
      <c r="F68" s="1"/>
    </row>
    <row r="69" spans="1:6" x14ac:dyDescent="0.25">
      <c r="A69">
        <f t="shared" si="2"/>
        <v>189</v>
      </c>
      <c r="B69" s="2">
        <f t="shared" si="3"/>
        <v>36964.980544747035</v>
      </c>
      <c r="C69" s="1">
        <f>1/('NTC PAW-A2W-TSOD'!$J$12+'NTC PAW-A2W-TSOD'!$J$13*LN(B69)+'NTC PAW-A2W-TSOD'!$J$14*(LN(B69))^3)-273.15</f>
        <v>-12.842921612319572</v>
      </c>
      <c r="E69" s="2"/>
      <c r="F69" s="1"/>
    </row>
    <row r="70" spans="1:6" x14ac:dyDescent="0.25">
      <c r="A70">
        <f t="shared" si="2"/>
        <v>188</v>
      </c>
      <c r="B70" s="2">
        <f t="shared" si="3"/>
        <v>36770.428015564154</v>
      </c>
      <c r="C70" s="1">
        <f>1/('NTC PAW-A2W-TSOD'!$J$12+'NTC PAW-A2W-TSOD'!$J$13*LN(B70)+'NTC PAW-A2W-TSOD'!$J$14*(LN(B70))^3)-273.15</f>
        <v>-12.739710885282534</v>
      </c>
      <c r="E70" s="2"/>
      <c r="F70" s="1"/>
    </row>
    <row r="71" spans="1:6" x14ac:dyDescent="0.25">
      <c r="A71">
        <f t="shared" si="2"/>
        <v>187</v>
      </c>
      <c r="B71" s="2">
        <f t="shared" si="3"/>
        <v>36575.875486381272</v>
      </c>
      <c r="C71" s="1">
        <f>1/('NTC PAW-A2W-TSOD'!$J$12+'NTC PAW-A2W-TSOD'!$J$13*LN(B71)+'NTC PAW-A2W-TSOD'!$J$14*(LN(B71))^3)-273.15</f>
        <v>-12.635887408965459</v>
      </c>
      <c r="E71" s="2"/>
      <c r="F71" s="1"/>
    </row>
    <row r="72" spans="1:6" x14ac:dyDescent="0.25">
      <c r="A72">
        <f t="shared" si="2"/>
        <v>186</v>
      </c>
      <c r="B72" s="2">
        <f t="shared" si="3"/>
        <v>36381.32295719839</v>
      </c>
      <c r="C72" s="1">
        <f>1/('NTC PAW-A2W-TSOD'!$J$12+'NTC PAW-A2W-TSOD'!$J$13*LN(B72)+'NTC PAW-A2W-TSOD'!$J$14*(LN(B72))^3)-273.15</f>
        <v>-12.531444231850458</v>
      </c>
      <c r="E72" s="2"/>
      <c r="F72" s="1"/>
    </row>
    <row r="73" spans="1:6" x14ac:dyDescent="0.25">
      <c r="A73">
        <f t="shared" si="2"/>
        <v>185</v>
      </c>
      <c r="B73" s="2">
        <f t="shared" si="3"/>
        <v>36186.770428015509</v>
      </c>
      <c r="C73" s="1">
        <f>1/('NTC PAW-A2W-TSOD'!$J$12+'NTC PAW-A2W-TSOD'!$J$13*LN(B73)+'NTC PAW-A2W-TSOD'!$J$14*(LN(B73))^3)-273.15</f>
        <v>-12.426374285674228</v>
      </c>
      <c r="E73" s="2"/>
      <c r="F73" s="1"/>
    </row>
    <row r="74" spans="1:6" x14ac:dyDescent="0.25">
      <c r="A74">
        <f t="shared" si="2"/>
        <v>184</v>
      </c>
      <c r="B74" s="2">
        <f t="shared" si="3"/>
        <v>35992.217898832627</v>
      </c>
      <c r="C74" s="1">
        <f>1/('NTC PAW-A2W-TSOD'!$J$12+'NTC PAW-A2W-TSOD'!$J$13*LN(B74)+'NTC PAW-A2W-TSOD'!$J$14*(LN(B74))^3)-273.15</f>
        <v>-12.320670382825369</v>
      </c>
      <c r="E74" s="2"/>
      <c r="F74" s="1"/>
    </row>
    <row r="75" spans="1:6" x14ac:dyDescent="0.25">
      <c r="A75">
        <f t="shared" si="2"/>
        <v>183</v>
      </c>
      <c r="B75" s="2">
        <f t="shared" si="3"/>
        <v>35797.665369649745</v>
      </c>
      <c r="C75" s="1">
        <f>1/('NTC PAW-A2W-TSOD'!$J$12+'NTC PAW-A2W-TSOD'!$J$13*LN(B75)+'NTC PAW-A2W-TSOD'!$J$14*(LN(B75))^3)-273.15</f>
        <v>-12.214325213668872</v>
      </c>
      <c r="E75" s="2"/>
      <c r="F75" s="1"/>
    </row>
    <row r="76" spans="1:6" x14ac:dyDescent="0.25">
      <c r="A76">
        <f t="shared" si="2"/>
        <v>182</v>
      </c>
      <c r="B76" s="2">
        <f t="shared" si="3"/>
        <v>35603.112840466863</v>
      </c>
      <c r="C76" s="1">
        <f>1/('NTC PAW-A2W-TSOD'!$J$12+'NTC PAW-A2W-TSOD'!$J$13*LN(B76)+'NTC PAW-A2W-TSOD'!$J$14*(LN(B76))^3)-273.15</f>
        <v>-12.107331343795806</v>
      </c>
      <c r="E76" s="2"/>
      <c r="F76" s="1"/>
    </row>
    <row r="77" spans="1:6" x14ac:dyDescent="0.25">
      <c r="A77">
        <f t="shared" si="2"/>
        <v>181</v>
      </c>
      <c r="B77" s="2">
        <f t="shared" si="3"/>
        <v>35408.560311283982</v>
      </c>
      <c r="C77" s="1">
        <f>1/('NTC PAW-A2W-TSOD'!$J$12+'NTC PAW-A2W-TSOD'!$J$13*LN(B77)+'NTC PAW-A2W-TSOD'!$J$14*(LN(B77))^3)-273.15</f>
        <v>-11.999681211195707</v>
      </c>
      <c r="E77" s="2"/>
      <c r="F77" s="1"/>
    </row>
    <row r="78" spans="1:6" x14ac:dyDescent="0.25">
      <c r="A78">
        <f t="shared" si="2"/>
        <v>180</v>
      </c>
      <c r="B78" s="2">
        <f t="shared" si="3"/>
        <v>35214.0077821011</v>
      </c>
      <c r="C78" s="1">
        <f>1/('NTC PAW-A2W-TSOD'!$J$12+'NTC PAW-A2W-TSOD'!$J$13*LN(B78)+'NTC PAW-A2W-TSOD'!$J$14*(LN(B78))^3)-273.15</f>
        <v>-11.891367123348232</v>
      </c>
      <c r="E78" s="2"/>
      <c r="F78" s="1"/>
    </row>
    <row r="79" spans="1:6" x14ac:dyDescent="0.25">
      <c r="A79">
        <f t="shared" si="2"/>
        <v>179</v>
      </c>
      <c r="B79" s="2">
        <f t="shared" si="3"/>
        <v>35019.455252918218</v>
      </c>
      <c r="C79" s="1">
        <f>1/('NTC PAW-A2W-TSOD'!$J$12+'NTC PAW-A2W-TSOD'!$J$13*LN(B79)+'NTC PAW-A2W-TSOD'!$J$14*(LN(B79))^3)-273.15</f>
        <v>-11.782381254232973</v>
      </c>
      <c r="E79" s="2"/>
      <c r="F79" s="1"/>
    </row>
    <row r="80" spans="1:6" x14ac:dyDescent="0.25">
      <c r="A80">
        <f t="shared" si="2"/>
        <v>178</v>
      </c>
      <c r="B80" s="2">
        <f t="shared" si="3"/>
        <v>34824.902723735337</v>
      </c>
      <c r="C80" s="1">
        <f>1/('NTC PAW-A2W-TSOD'!$J$12+'NTC PAW-A2W-TSOD'!$J$13*LN(B80)+'NTC PAW-A2W-TSOD'!$J$14*(LN(B80))^3)-273.15</f>
        <v>-11.672715641252864</v>
      </c>
      <c r="E80" s="2"/>
      <c r="F80" s="1"/>
    </row>
    <row r="81" spans="1:6" x14ac:dyDescent="0.25">
      <c r="A81">
        <f t="shared" si="2"/>
        <v>177</v>
      </c>
      <c r="B81" s="2">
        <f t="shared" si="3"/>
        <v>34630.350194552455</v>
      </c>
      <c r="C81" s="1">
        <f>1/('NTC PAW-A2W-TSOD'!$J$12+'NTC PAW-A2W-TSOD'!$J$13*LN(B81)+'NTC PAW-A2W-TSOD'!$J$14*(LN(B81))^3)-273.15</f>
        <v>-11.562362182069535</v>
      </c>
      <c r="E81" s="2"/>
      <c r="F81" s="1"/>
    </row>
    <row r="82" spans="1:6" x14ac:dyDescent="0.25">
      <c r="A82">
        <f t="shared" si="2"/>
        <v>176</v>
      </c>
      <c r="B82" s="2">
        <f t="shared" si="3"/>
        <v>34435.797665369573</v>
      </c>
      <c r="C82" s="1">
        <f>1/('NTC PAW-A2W-TSOD'!$J$12+'NTC PAW-A2W-TSOD'!$J$13*LN(B82)+'NTC PAW-A2W-TSOD'!$J$14*(LN(B82))^3)-273.15</f>
        <v>-11.451312631346639</v>
      </c>
      <c r="E82" s="2"/>
      <c r="F82" s="1"/>
    </row>
    <row r="83" spans="1:6" x14ac:dyDescent="0.25">
      <c r="A83">
        <f t="shared" si="2"/>
        <v>175</v>
      </c>
      <c r="B83" s="2">
        <f t="shared" si="3"/>
        <v>34241.245136186692</v>
      </c>
      <c r="C83" s="1">
        <f>1/('NTC PAW-A2W-TSOD'!$J$12+'NTC PAW-A2W-TSOD'!$J$13*LN(B83)+'NTC PAW-A2W-TSOD'!$J$14*(LN(B83))^3)-273.15</f>
        <v>-11.339558597398593</v>
      </c>
      <c r="E83" s="2"/>
      <c r="F83" s="1"/>
    </row>
    <row r="84" spans="1:6" x14ac:dyDescent="0.25">
      <c r="A84">
        <f t="shared" si="2"/>
        <v>174</v>
      </c>
      <c r="B84" s="2">
        <f t="shared" si="3"/>
        <v>34046.69260700381</v>
      </c>
      <c r="C84" s="1">
        <f>1/('NTC PAW-A2W-TSOD'!$J$12+'NTC PAW-A2W-TSOD'!$J$13*LN(B84)+'NTC PAW-A2W-TSOD'!$J$14*(LN(B84))^3)-273.15</f>
        <v>-11.227091538741035</v>
      </c>
      <c r="E84" s="2"/>
      <c r="F84" s="1"/>
    </row>
    <row r="85" spans="1:6" x14ac:dyDescent="0.25">
      <c r="A85">
        <f t="shared" si="2"/>
        <v>173</v>
      </c>
      <c r="B85" s="2">
        <f t="shared" si="3"/>
        <v>33852.140077820928</v>
      </c>
      <c r="C85" s="1">
        <f>1/('NTC PAW-A2W-TSOD'!$J$12+'NTC PAW-A2W-TSOD'!$J$13*LN(B85)+'NTC PAW-A2W-TSOD'!$J$14*(LN(B85))^3)-273.15</f>
        <v>-11.113902760539929</v>
      </c>
      <c r="E85" s="2"/>
      <c r="F85" s="1"/>
    </row>
    <row r="86" spans="1:6" x14ac:dyDescent="0.25">
      <c r="A86">
        <f t="shared" si="2"/>
        <v>172</v>
      </c>
      <c r="B86" s="2">
        <f t="shared" si="3"/>
        <v>33657.587548638046</v>
      </c>
      <c r="C86" s="1">
        <f>1/('NTC PAW-A2W-TSOD'!$J$12+'NTC PAW-A2W-TSOD'!$J$13*LN(B86)+'NTC PAW-A2W-TSOD'!$J$14*(LN(B86))^3)-273.15</f>
        <v>-10.99998341095511</v>
      </c>
      <c r="E86" s="2"/>
      <c r="F86" s="1"/>
    </row>
    <row r="87" spans="1:6" x14ac:dyDescent="0.25">
      <c r="A87">
        <f t="shared" si="2"/>
        <v>171</v>
      </c>
      <c r="B87" s="2">
        <f t="shared" si="3"/>
        <v>33463.035019455165</v>
      </c>
      <c r="C87" s="1">
        <f>1/('NTC PAW-A2W-TSOD'!$J$12+'NTC PAW-A2W-TSOD'!$J$13*LN(B87)+'NTC PAW-A2W-TSOD'!$J$14*(LN(B87))^3)-273.15</f>
        <v>-10.885324477375093</v>
      </c>
      <c r="E87" s="2"/>
      <c r="F87" s="1"/>
    </row>
    <row r="88" spans="1:6" x14ac:dyDescent="0.25">
      <c r="A88">
        <f t="shared" si="2"/>
        <v>170</v>
      </c>
      <c r="B88" s="2">
        <f t="shared" si="3"/>
        <v>33268.482490272283</v>
      </c>
      <c r="C88" s="1">
        <f>1/('NTC PAW-A2W-TSOD'!$J$12+'NTC PAW-A2W-TSOD'!$J$13*LN(B88)+'NTC PAW-A2W-TSOD'!$J$14*(LN(B88))^3)-273.15</f>
        <v>-10.769916782539042</v>
      </c>
      <c r="E88" s="2"/>
      <c r="F88" s="1"/>
    </row>
    <row r="89" spans="1:6" x14ac:dyDescent="0.25">
      <c r="A89">
        <f t="shared" si="2"/>
        <v>169</v>
      </c>
      <c r="B89" s="2">
        <f t="shared" si="3"/>
        <v>33073.929961089401</v>
      </c>
      <c r="C89" s="1">
        <f>1/('NTC PAW-A2W-TSOD'!$J$12+'NTC PAW-A2W-TSOD'!$J$13*LN(B89)+'NTC PAW-A2W-TSOD'!$J$14*(LN(B89))^3)-273.15</f>
        <v>-10.653750980541872</v>
      </c>
      <c r="E89" s="2"/>
      <c r="F89" s="1"/>
    </row>
    <row r="90" spans="1:6" x14ac:dyDescent="0.25">
      <c r="A90">
        <f t="shared" si="2"/>
        <v>168</v>
      </c>
      <c r="B90" s="2">
        <f t="shared" si="3"/>
        <v>32879.37743190652</v>
      </c>
      <c r="C90" s="1">
        <f>1/('NTC PAW-A2W-TSOD'!$J$12+'NTC PAW-A2W-TSOD'!$J$13*LN(B90)+'NTC PAW-A2W-TSOD'!$J$14*(LN(B90))^3)-273.15</f>
        <v>-10.536817552717991</v>
      </c>
      <c r="E90" s="2"/>
      <c r="F90" s="1"/>
    </row>
    <row r="91" spans="1:6" x14ac:dyDescent="0.25">
      <c r="A91">
        <f t="shared" si="2"/>
        <v>167</v>
      </c>
      <c r="B91" s="2">
        <f t="shared" si="3"/>
        <v>32684.824902723638</v>
      </c>
      <c r="C91" s="1">
        <f>1/('NTC PAW-A2W-TSOD'!$J$12+'NTC PAW-A2W-TSOD'!$J$13*LN(B91)+'NTC PAW-A2W-TSOD'!$J$14*(LN(B91))^3)-273.15</f>
        <v>-10.419106803399814</v>
      </c>
      <c r="E91" s="2"/>
      <c r="F91" s="1"/>
    </row>
    <row r="92" spans="1:6" x14ac:dyDescent="0.25">
      <c r="A92">
        <f t="shared" si="2"/>
        <v>166</v>
      </c>
      <c r="B92" s="2">
        <f t="shared" si="3"/>
        <v>32490.27237354076</v>
      </c>
      <c r="C92" s="1">
        <f>1/('NTC PAW-A2W-TSOD'!$J$12+'NTC PAW-A2W-TSOD'!$J$13*LN(B92)+'NTC PAW-A2W-TSOD'!$J$14*(LN(B92))^3)-273.15</f>
        <v>-10.30060885554559</v>
      </c>
      <c r="E92" s="2"/>
      <c r="F92" s="1"/>
    </row>
    <row r="93" spans="1:6" x14ac:dyDescent="0.25">
      <c r="A93">
        <f t="shared" si="2"/>
        <v>165</v>
      </c>
      <c r="B93" s="2">
        <f t="shared" si="3"/>
        <v>32295.719844357882</v>
      </c>
      <c r="C93" s="1">
        <f>1/('NTC PAW-A2W-TSOD'!$J$12+'NTC PAW-A2W-TSOD'!$J$13*LN(B93)+'NTC PAW-A2W-TSOD'!$J$14*(LN(B93))^3)-273.15</f>
        <v>-10.181313646232809</v>
      </c>
      <c r="E93" s="2"/>
      <c r="F93" s="1"/>
    </row>
    <row r="94" spans="1:6" x14ac:dyDescent="0.25">
      <c r="A94">
        <f t="shared" si="2"/>
        <v>164</v>
      </c>
      <c r="B94" s="2">
        <f t="shared" si="3"/>
        <v>32101.167315175004</v>
      </c>
      <c r="C94" s="1">
        <f>1/('NTC PAW-A2W-TSOD'!$J$12+'NTC PAW-A2W-TSOD'!$J$13*LN(B94)+'NTC PAW-A2W-TSOD'!$J$14*(LN(B94))^3)-273.15</f>
        <v>-10.061210922011469</v>
      </c>
      <c r="E94" s="2"/>
      <c r="F94" s="1"/>
    </row>
    <row r="95" spans="1:6" x14ac:dyDescent="0.25">
      <c r="A95">
        <f t="shared" si="2"/>
        <v>163</v>
      </c>
      <c r="B95" s="2">
        <f t="shared" si="3"/>
        <v>31906.614785992126</v>
      </c>
      <c r="C95" s="1">
        <f>1/('NTC PAW-A2W-TSOD'!$J$12+'NTC PAW-A2W-TSOD'!$J$13*LN(B95)+'NTC PAW-A2W-TSOD'!$J$14*(LN(B95))^3)-273.15</f>
        <v>-9.940290234111842</v>
      </c>
      <c r="E95" s="2"/>
      <c r="F95" s="1"/>
    </row>
    <row r="96" spans="1:6" x14ac:dyDescent="0.25">
      <c r="A96">
        <f t="shared" si="2"/>
        <v>162</v>
      </c>
      <c r="B96" s="2">
        <f t="shared" si="3"/>
        <v>31712.062256809248</v>
      </c>
      <c r="C96" s="1">
        <f>1/('NTC PAW-A2W-TSOD'!$J$12+'NTC PAW-A2W-TSOD'!$J$13*LN(B96)+'NTC PAW-A2W-TSOD'!$J$14*(LN(B96))^3)-273.15</f>
        <v>-9.818540933501879</v>
      </c>
      <c r="E96" s="2"/>
      <c r="F96" s="1"/>
    </row>
    <row r="97" spans="1:6" x14ac:dyDescent="0.25">
      <c r="A97">
        <f t="shared" si="2"/>
        <v>161</v>
      </c>
      <c r="B97" s="2">
        <f t="shared" si="3"/>
        <v>31517.50972762637</v>
      </c>
      <c r="C97" s="1">
        <f>1/('NTC PAW-A2W-TSOD'!$J$12+'NTC PAW-A2W-TSOD'!$J$13*LN(B97)+'NTC PAW-A2W-TSOD'!$J$14*(LN(B97))^3)-273.15</f>
        <v>-9.6959521657882419</v>
      </c>
      <c r="E97" s="2"/>
      <c r="F97" s="1"/>
    </row>
    <row r="98" spans="1:6" x14ac:dyDescent="0.25">
      <c r="A98">
        <f t="shared" si="2"/>
        <v>160</v>
      </c>
      <c r="B98" s="2">
        <f t="shared" si="3"/>
        <v>31322.957198443492</v>
      </c>
      <c r="C98" s="1">
        <f>1/('NTC PAW-A2W-TSOD'!$J$12+'NTC PAW-A2W-TSOD'!$J$13*LN(B98)+'NTC PAW-A2W-TSOD'!$J$14*(LN(B98))^3)-273.15</f>
        <v>-9.5725128659548204</v>
      </c>
      <c r="E98" s="2"/>
      <c r="F98" s="1"/>
    </row>
    <row r="99" spans="1:6" x14ac:dyDescent="0.25">
      <c r="A99">
        <f t="shared" si="2"/>
        <v>159</v>
      </c>
      <c r="B99" s="2">
        <f t="shared" si="3"/>
        <v>31128.404669260613</v>
      </c>
      <c r="C99" s="1">
        <f>1/('NTC PAW-A2W-TSOD'!$J$12+'NTC PAW-A2W-TSOD'!$J$13*LN(B99)+'NTC PAW-A2W-TSOD'!$J$14*(LN(B99))^3)-273.15</f>
        <v>-9.4482117529328207</v>
      </c>
      <c r="E99" s="2"/>
      <c r="F99" s="1"/>
    </row>
    <row r="100" spans="1:6" x14ac:dyDescent="0.25">
      <c r="A100">
        <f t="shared" si="2"/>
        <v>158</v>
      </c>
      <c r="B100" s="2">
        <f t="shared" si="3"/>
        <v>30933.852140077735</v>
      </c>
      <c r="C100" s="1">
        <f>1/('NTC PAW-A2W-TSOD'!$J$12+'NTC PAW-A2W-TSOD'!$J$13*LN(B100)+'NTC PAW-A2W-TSOD'!$J$14*(LN(B100))^3)-273.15</f>
        <v>-9.3230373239962319</v>
      </c>
      <c r="E100" s="2"/>
      <c r="F100" s="1"/>
    </row>
    <row r="101" spans="1:6" x14ac:dyDescent="0.25">
      <c r="A101">
        <f t="shared" si="2"/>
        <v>157</v>
      </c>
      <c r="B101" s="2">
        <f t="shared" si="3"/>
        <v>30739.299610894857</v>
      </c>
      <c r="C101" s="1">
        <f>1/('NTC PAW-A2W-TSOD'!$J$12+'NTC PAW-A2W-TSOD'!$J$13*LN(B101)+'NTC PAW-A2W-TSOD'!$J$14*(LN(B101))^3)-273.15</f>
        <v>-9.1969778489746545</v>
      </c>
      <c r="E101" s="2"/>
      <c r="F101" s="1"/>
    </row>
    <row r="102" spans="1:6" x14ac:dyDescent="0.25">
      <c r="A102">
        <f t="shared" si="2"/>
        <v>156</v>
      </c>
      <c r="B102" s="2">
        <f t="shared" si="3"/>
        <v>30544.747081711979</v>
      </c>
      <c r="C102" s="1">
        <f>1/('NTC PAW-A2W-TSOD'!$J$12+'NTC PAW-A2W-TSOD'!$J$13*LN(B102)+'NTC PAW-A2W-TSOD'!$J$14*(LN(B102))^3)-273.15</f>
        <v>-9.0700213642779772</v>
      </c>
      <c r="E102" s="2"/>
      <c r="F102" s="1"/>
    </row>
    <row r="103" spans="1:6" x14ac:dyDescent="0.25">
      <c r="A103">
        <f t="shared" si="2"/>
        <v>155</v>
      </c>
      <c r="B103" s="2">
        <f t="shared" si="3"/>
        <v>30350.194552529101</v>
      </c>
      <c r="C103" s="1">
        <f>1/('NTC PAW-A2W-TSOD'!$J$12+'NTC PAW-A2W-TSOD'!$J$13*LN(B103)+'NTC PAW-A2W-TSOD'!$J$14*(LN(B103))^3)-273.15</f>
        <v>-8.9421556667246023</v>
      </c>
      <c r="E103" s="2"/>
      <c r="F103" s="1"/>
    </row>
    <row r="104" spans="1:6" x14ac:dyDescent="0.25">
      <c r="A104">
        <f t="shared" si="2"/>
        <v>154</v>
      </c>
      <c r="B104" s="2">
        <f t="shared" si="3"/>
        <v>30155.642023346223</v>
      </c>
      <c r="C104" s="1">
        <f>1/('NTC PAW-A2W-TSOD'!$J$12+'NTC PAW-A2W-TSOD'!$J$13*LN(B104)+'NTC PAW-A2W-TSOD'!$J$14*(LN(B104))^3)-273.15</f>
        <v>-8.813368307165149</v>
      </c>
      <c r="E104" s="2"/>
      <c r="F104" s="1"/>
    </row>
    <row r="105" spans="1:6" x14ac:dyDescent="0.25">
      <c r="A105">
        <f t="shared" si="2"/>
        <v>153</v>
      </c>
      <c r="B105" s="2">
        <f t="shared" si="3"/>
        <v>29961.089494163345</v>
      </c>
      <c r="C105" s="1">
        <f>1/('NTC PAW-A2W-TSOD'!$J$12+'NTC PAW-A2W-TSOD'!$J$13*LN(B105)+'NTC PAW-A2W-TSOD'!$J$14*(LN(B105))^3)-273.15</f>
        <v>-8.6836465838946992</v>
      </c>
      <c r="E105" s="2"/>
      <c r="F105" s="1"/>
    </row>
    <row r="106" spans="1:6" x14ac:dyDescent="0.25">
      <c r="A106">
        <f t="shared" si="2"/>
        <v>152</v>
      </c>
      <c r="B106" s="2">
        <f t="shared" si="3"/>
        <v>29766.536964980467</v>
      </c>
      <c r="C106" s="1">
        <f>1/('NTC PAW-A2W-TSOD'!$J$12+'NTC PAW-A2W-TSOD'!$J$13*LN(B106)+'NTC PAW-A2W-TSOD'!$J$14*(LN(B106))^3)-273.15</f>
        <v>-8.5529775358438656</v>
      </c>
      <c r="E106" s="2"/>
      <c r="F106" s="1"/>
    </row>
    <row r="107" spans="1:6" x14ac:dyDescent="0.25">
      <c r="A107">
        <f t="shared" si="2"/>
        <v>151</v>
      </c>
      <c r="B107" s="2">
        <f t="shared" si="3"/>
        <v>29571.984435797589</v>
      </c>
      <c r="C107" s="1">
        <f>1/('NTC PAW-A2W-TSOD'!$J$12+'NTC PAW-A2W-TSOD'!$J$13*LN(B107)+'NTC PAW-A2W-TSOD'!$J$14*(LN(B107))^3)-273.15</f>
        <v>-8.4213479355404957</v>
      </c>
      <c r="E107" s="2"/>
      <c r="F107" s="1"/>
    </row>
    <row r="108" spans="1:6" x14ac:dyDescent="0.25">
      <c r="A108">
        <f t="shared" si="2"/>
        <v>150</v>
      </c>
      <c r="B108" s="2">
        <f t="shared" si="3"/>
        <v>29377.431906614711</v>
      </c>
      <c r="C108" s="1">
        <f>1/('NTC PAW-A2W-TSOD'!$J$12+'NTC PAW-A2W-TSOD'!$J$13*LN(B108)+'NTC PAW-A2W-TSOD'!$J$14*(LN(B108))^3)-273.15</f>
        <v>-8.2887442818321233</v>
      </c>
      <c r="E108" s="2"/>
      <c r="F108" s="1"/>
    </row>
    <row r="109" spans="1:6" x14ac:dyDescent="0.25">
      <c r="A109">
        <f t="shared" si="2"/>
        <v>149</v>
      </c>
      <c r="B109" s="2">
        <f t="shared" si="3"/>
        <v>29182.879377431833</v>
      </c>
      <c r="C109" s="1">
        <f>1/('NTC PAW-A2W-TSOD'!$J$12+'NTC PAW-A2W-TSOD'!$J$13*LN(B109)+'NTC PAW-A2W-TSOD'!$J$14*(LN(B109))^3)-273.15</f>
        <v>-8.1551527923606955</v>
      </c>
      <c r="E109" s="2"/>
      <c r="F109" s="1"/>
    </row>
    <row r="110" spans="1:6" x14ac:dyDescent="0.25">
      <c r="A110">
        <f t="shared" si="2"/>
        <v>148</v>
      </c>
      <c r="B110" s="2">
        <f t="shared" si="3"/>
        <v>28988.326848248955</v>
      </c>
      <c r="C110" s="1">
        <f>1/('NTC PAW-A2W-TSOD'!$J$12+'NTC PAW-A2W-TSOD'!$J$13*LN(B110)+'NTC PAW-A2W-TSOD'!$J$14*(LN(B110))^3)-273.15</f>
        <v>-8.0205593957775818</v>
      </c>
      <c r="E110" s="2"/>
      <c r="F110" s="1"/>
    </row>
    <row r="111" spans="1:6" x14ac:dyDescent="0.25">
      <c r="A111">
        <f t="shared" si="2"/>
        <v>147</v>
      </c>
      <c r="B111" s="2">
        <f t="shared" si="3"/>
        <v>28793.774319066077</v>
      </c>
      <c r="C111" s="1">
        <f>1/('NTC PAW-A2W-TSOD'!$J$12+'NTC PAW-A2W-TSOD'!$J$13*LN(B111)+'NTC PAW-A2W-TSOD'!$J$14*(LN(B111))^3)-273.15</f>
        <v>-7.8849497236892034</v>
      </c>
      <c r="E111" s="2"/>
      <c r="F111" s="1"/>
    </row>
    <row r="112" spans="1:6" x14ac:dyDescent="0.25">
      <c r="A112">
        <f t="shared" si="2"/>
        <v>146</v>
      </c>
      <c r="B112" s="2">
        <f t="shared" si="3"/>
        <v>28599.221789883199</v>
      </c>
      <c r="C112" s="1">
        <f>1/('NTC PAW-A2W-TSOD'!$J$12+'NTC PAW-A2W-TSOD'!$J$13*LN(B112)+'NTC PAW-A2W-TSOD'!$J$14*(LN(B112))^3)-273.15</f>
        <v>-7.7483091023224233</v>
      </c>
      <c r="E112" s="2"/>
      <c r="F112" s="1"/>
    </row>
    <row r="113" spans="1:6" x14ac:dyDescent="0.25">
      <c r="A113">
        <f t="shared" si="2"/>
        <v>145</v>
      </c>
      <c r="B113" s="2">
        <f t="shared" si="3"/>
        <v>28404.669260700321</v>
      </c>
      <c r="C113" s="1">
        <f>1/('NTC PAW-A2W-TSOD'!$J$12+'NTC PAW-A2W-TSOD'!$J$13*LN(B113)+'NTC PAW-A2W-TSOD'!$J$14*(LN(B113))^3)-273.15</f>
        <v>-7.6106225438964543</v>
      </c>
      <c r="E113" s="2"/>
      <c r="F113" s="1"/>
    </row>
    <row r="114" spans="1:6" x14ac:dyDescent="0.25">
      <c r="A114">
        <f t="shared" si="2"/>
        <v>144</v>
      </c>
      <c r="B114" s="2">
        <f t="shared" si="3"/>
        <v>28210.116731517443</v>
      </c>
      <c r="C114" s="1">
        <f>1/('NTC PAW-A2W-TSOD'!$J$12+'NTC PAW-A2W-TSOD'!$J$13*LN(B114)+'NTC PAW-A2W-TSOD'!$J$14*(LN(B114))^3)-273.15</f>
        <v>-7.4718747376909391</v>
      </c>
      <c r="E114" s="2"/>
      <c r="F114" s="1"/>
    </row>
    <row r="115" spans="1:6" x14ac:dyDescent="0.25">
      <c r="A115">
        <f t="shared" si="2"/>
        <v>143</v>
      </c>
      <c r="B115" s="2">
        <f t="shared" si="3"/>
        <v>28015.564202334564</v>
      </c>
      <c r="C115" s="1">
        <f>1/('NTC PAW-A2W-TSOD'!$J$12+'NTC PAW-A2W-TSOD'!$J$13*LN(B115)+'NTC PAW-A2W-TSOD'!$J$14*(LN(B115))^3)-273.15</f>
        <v>-7.3320500407951386</v>
      </c>
      <c r="E115" s="2"/>
      <c r="F115" s="1"/>
    </row>
    <row r="116" spans="1:6" x14ac:dyDescent="0.25">
      <c r="A116">
        <f t="shared" si="2"/>
        <v>142</v>
      </c>
      <c r="B116" s="2">
        <f t="shared" si="3"/>
        <v>27821.011673151686</v>
      </c>
      <c r="C116" s="1">
        <f>1/('NTC PAW-A2W-TSOD'!$J$12+'NTC PAW-A2W-TSOD'!$J$13*LN(B116)+'NTC PAW-A2W-TSOD'!$J$14*(LN(B116))^3)-273.15</f>
        <v>-7.1911324685262343</v>
      </c>
      <c r="E116" s="2"/>
      <c r="F116" s="1"/>
    </row>
    <row r="117" spans="1:6" x14ac:dyDescent="0.25">
      <c r="A117">
        <f t="shared" si="2"/>
        <v>141</v>
      </c>
      <c r="B117" s="2">
        <f t="shared" si="3"/>
        <v>27626.459143968808</v>
      </c>
      <c r="C117" s="1">
        <f>1/('NTC PAW-A2W-TSOD'!$J$12+'NTC PAW-A2W-TSOD'!$J$13*LN(B117)+'NTC PAW-A2W-TSOD'!$J$14*(LN(B117))^3)-273.15</f>
        <v>-7.0491056845018534</v>
      </c>
      <c r="E117" s="2"/>
      <c r="F117" s="1"/>
    </row>
    <row r="118" spans="1:6" x14ac:dyDescent="0.25">
      <c r="A118">
        <f t="shared" si="2"/>
        <v>140</v>
      </c>
      <c r="B118" s="2">
        <f t="shared" si="3"/>
        <v>27431.90661478593</v>
      </c>
      <c r="C118" s="1">
        <f>1/('NTC PAW-A2W-TSOD'!$J$12+'NTC PAW-A2W-TSOD'!$J$13*LN(B118)+'NTC PAW-A2W-TSOD'!$J$14*(LN(B118))^3)-273.15</f>
        <v>-6.9059529903511816</v>
      </c>
      <c r="E118" s="2"/>
      <c r="F118" s="1"/>
    </row>
    <row r="119" spans="1:6" x14ac:dyDescent="0.25">
      <c r="A119">
        <f t="shared" si="2"/>
        <v>139</v>
      </c>
      <c r="B119" s="2">
        <f t="shared" si="3"/>
        <v>27237.354085603052</v>
      </c>
      <c r="C119" s="1">
        <f>1/('NTC PAW-A2W-TSOD'!$J$12+'NTC PAW-A2W-TSOD'!$J$13*LN(B119)+'NTC PAW-A2W-TSOD'!$J$14*(LN(B119))^3)-273.15</f>
        <v>-6.7616573150503996</v>
      </c>
      <c r="E119" s="2"/>
      <c r="F119" s="1"/>
    </row>
    <row r="120" spans="1:6" x14ac:dyDescent="0.25">
      <c r="A120">
        <f t="shared" si="2"/>
        <v>138</v>
      </c>
      <c r="B120" s="2">
        <f t="shared" si="3"/>
        <v>27042.801556420174</v>
      </c>
      <c r="C120" s="1">
        <f>1/('NTC PAW-A2W-TSOD'!$J$12+'NTC PAW-A2W-TSOD'!$J$13*LN(B120)+'NTC PAW-A2W-TSOD'!$J$14*(LN(B120))^3)-273.15</f>
        <v>-6.6162012038640228</v>
      </c>
      <c r="E120" s="2"/>
      <c r="F120" s="1"/>
    </row>
    <row r="121" spans="1:6" x14ac:dyDescent="0.25">
      <c r="A121">
        <f t="shared" si="2"/>
        <v>137</v>
      </c>
      <c r="B121" s="2">
        <f t="shared" si="3"/>
        <v>26848.249027237296</v>
      </c>
      <c r="C121" s="1">
        <f>1/('NTC PAW-A2W-TSOD'!$J$12+'NTC PAW-A2W-TSOD'!$J$13*LN(B121)+'NTC PAW-A2W-TSOD'!$J$14*(LN(B121))^3)-273.15</f>
        <v>-6.4695668068764007</v>
      </c>
      <c r="E121" s="2"/>
      <c r="F121" s="1"/>
    </row>
    <row r="122" spans="1:6" x14ac:dyDescent="0.25">
      <c r="A122">
        <f t="shared" si="2"/>
        <v>136</v>
      </c>
      <c r="B122" s="2">
        <f t="shared" si="3"/>
        <v>26653.696498054418</v>
      </c>
      <c r="C122" s="1">
        <f>1/('NTC PAW-A2W-TSOD'!$J$12+'NTC PAW-A2W-TSOD'!$J$13*LN(B122)+'NTC PAW-A2W-TSOD'!$J$14*(LN(B122))^3)-273.15</f>
        <v>-6.3217358670937074</v>
      </c>
      <c r="E122" s="2"/>
      <c r="F122" s="1"/>
    </row>
    <row r="123" spans="1:6" x14ac:dyDescent="0.25">
      <c r="A123">
        <f t="shared" si="2"/>
        <v>135</v>
      </c>
      <c r="B123" s="2">
        <f t="shared" si="3"/>
        <v>26459.14396887154</v>
      </c>
      <c r="C123" s="1">
        <f>1/('NTC PAW-A2W-TSOD'!$J$12+'NTC PAW-A2W-TSOD'!$J$13*LN(B123)+'NTC PAW-A2W-TSOD'!$J$14*(LN(B123))^3)-273.15</f>
        <v>-6.1726897080977778</v>
      </c>
      <c r="E123" s="2"/>
      <c r="F123" s="1"/>
    </row>
    <row r="124" spans="1:6" x14ac:dyDescent="0.25">
      <c r="A124">
        <f t="shared" si="2"/>
        <v>134</v>
      </c>
      <c r="B124" s="2">
        <f t="shared" si="3"/>
        <v>26264.591439688662</v>
      </c>
      <c r="C124" s="1">
        <f>1/('NTC PAW-A2W-TSOD'!$J$12+'NTC PAW-A2W-TSOD'!$J$13*LN(B124)+'NTC PAW-A2W-TSOD'!$J$14*(LN(B124))^3)-273.15</f>
        <v>-6.0224092212313849</v>
      </c>
      <c r="E124" s="2"/>
      <c r="F124" s="1"/>
    </row>
    <row r="125" spans="1:6" x14ac:dyDescent="0.25">
      <c r="A125">
        <f t="shared" si="2"/>
        <v>133</v>
      </c>
      <c r="B125" s="2">
        <f t="shared" si="3"/>
        <v>26070.038910505784</v>
      </c>
      <c r="C125" s="1">
        <f>1/('NTC PAW-A2W-TSOD'!$J$12+'NTC PAW-A2W-TSOD'!$J$13*LN(B125)+'NTC PAW-A2W-TSOD'!$J$14*(LN(B125))^3)-273.15</f>
        <v>-5.8708748522932979</v>
      </c>
      <c r="E125" s="2"/>
      <c r="F125" s="1"/>
    </row>
    <row r="126" spans="1:6" x14ac:dyDescent="0.25">
      <c r="A126">
        <f t="shared" si="2"/>
        <v>132</v>
      </c>
      <c r="B126" s="2">
        <f t="shared" si="3"/>
        <v>25875.486381322906</v>
      </c>
      <c r="C126" s="1">
        <f>1/('NTC PAW-A2W-TSOD'!$J$12+'NTC PAW-A2W-TSOD'!$J$13*LN(B126)+'NTC PAW-A2W-TSOD'!$J$14*(LN(B126))^3)-273.15</f>
        <v>-5.7180665877213528</v>
      </c>
      <c r="E126" s="2"/>
      <c r="F126" s="1"/>
    </row>
    <row r="127" spans="1:6" x14ac:dyDescent="0.25">
      <c r="A127">
        <f t="shared" si="2"/>
        <v>131</v>
      </c>
      <c r="B127" s="2">
        <f t="shared" si="3"/>
        <v>25680.933852140028</v>
      </c>
      <c r="C127" s="1">
        <f>1/('NTC PAW-A2W-TSOD'!$J$12+'NTC PAW-A2W-TSOD'!$J$13*LN(B127)+'NTC PAW-A2W-TSOD'!$J$14*(LN(B127))^3)-273.15</f>
        <v>-5.563963940237727</v>
      </c>
      <c r="E127" s="2"/>
      <c r="F127" s="1"/>
    </row>
    <row r="128" spans="1:6" x14ac:dyDescent="0.25">
      <c r="A128">
        <f t="shared" si="2"/>
        <v>130</v>
      </c>
      <c r="B128" s="2">
        <f t="shared" si="3"/>
        <v>25486.38132295715</v>
      </c>
      <c r="C128" s="1">
        <f>1/('NTC PAW-A2W-TSOD'!$J$12+'NTC PAW-A2W-TSOD'!$J$13*LN(B128)+'NTC PAW-A2W-TSOD'!$J$14*(LN(B128))^3)-273.15</f>
        <v>-5.4085459339346471</v>
      </c>
      <c r="E128" s="2"/>
      <c r="F128" s="1"/>
    </row>
    <row r="129" spans="1:6" x14ac:dyDescent="0.25">
      <c r="A129">
        <f t="shared" si="2"/>
        <v>129</v>
      </c>
      <c r="B129" s="2">
        <f t="shared" si="3"/>
        <v>25291.828793774272</v>
      </c>
      <c r="C129" s="1">
        <f>1/('NTC PAW-A2W-TSOD'!$J$12+'NTC PAW-A2W-TSOD'!$J$13*LN(B129)+'NTC PAW-A2W-TSOD'!$J$14*(LN(B129))^3)-273.15</f>
        <v>-5.2517910887706307</v>
      </c>
      <c r="E129" s="2"/>
      <c r="F129" s="1"/>
    </row>
    <row r="130" spans="1:6" x14ac:dyDescent="0.25">
      <c r="A130">
        <f t="shared" ref="A130:A193" si="4">A131+1</f>
        <v>128</v>
      </c>
      <c r="B130" s="2">
        <f t="shared" ref="B130:B193" si="5">B131+$H$2</f>
        <v>25097.276264591394</v>
      </c>
      <c r="C130" s="1">
        <f>1/('NTC PAW-A2W-TSOD'!$J$12+'NTC PAW-A2W-TSOD'!$J$13*LN(B130)+'NTC PAW-A2W-TSOD'!$J$14*(LN(B130))^3)-273.15</f>
        <v>-5.0936774044516824</v>
      </c>
      <c r="E130" s="2"/>
      <c r="F130" s="1"/>
    </row>
    <row r="131" spans="1:6" x14ac:dyDescent="0.25">
      <c r="A131">
        <f t="shared" si="4"/>
        <v>127</v>
      </c>
      <c r="B131" s="2">
        <f t="shared" si="5"/>
        <v>24902.723735408515</v>
      </c>
      <c r="C131" s="1">
        <f>1/('NTC PAW-A2W-TSOD'!$J$12+'NTC PAW-A2W-TSOD'!$J$13*LN(B131)+'NTC PAW-A2W-TSOD'!$J$14*(LN(B131))^3)-273.15</f>
        <v>-4.9341823436668619</v>
      </c>
      <c r="E131" s="2"/>
      <c r="F131" s="1"/>
    </row>
    <row r="132" spans="1:6" x14ac:dyDescent="0.25">
      <c r="A132">
        <f t="shared" si="4"/>
        <v>126</v>
      </c>
      <c r="B132" s="2">
        <f t="shared" si="5"/>
        <v>24708.171206225637</v>
      </c>
      <c r="C132" s="1">
        <f>1/('NTC PAW-A2W-TSOD'!$J$12+'NTC PAW-A2W-TSOD'!$J$13*LN(B132)+'NTC PAW-A2W-TSOD'!$J$14*(LN(B132))^3)-273.15</f>
        <v>-4.773282814647871</v>
      </c>
      <c r="E132" s="2"/>
      <c r="F132" s="1"/>
    </row>
    <row r="133" spans="1:6" x14ac:dyDescent="0.25">
      <c r="A133">
        <f t="shared" si="4"/>
        <v>125</v>
      </c>
      <c r="B133" s="2">
        <f t="shared" si="5"/>
        <v>24513.618677042759</v>
      </c>
      <c r="C133" s="1">
        <f>1/('NTC PAW-A2W-TSOD'!$J$12+'NTC PAW-A2W-TSOD'!$J$13*LN(B133)+'NTC PAW-A2W-TSOD'!$J$14*(LN(B133))^3)-273.15</f>
        <v>-4.6109551530191197</v>
      </c>
      <c r="E133" s="2"/>
      <c r="F133" s="1"/>
    </row>
    <row r="134" spans="1:6" x14ac:dyDescent="0.25">
      <c r="A134">
        <f t="shared" si="4"/>
        <v>124</v>
      </c>
      <c r="B134" s="2">
        <f t="shared" si="5"/>
        <v>24319.066147859881</v>
      </c>
      <c r="C134" s="1">
        <f>1/('NTC PAW-A2W-TSOD'!$J$12+'NTC PAW-A2W-TSOD'!$J$13*LN(B134)+'NTC PAW-A2W-TSOD'!$J$14*(LN(B134))^3)-273.15</f>
        <v>-4.4471751029037137</v>
      </c>
      <c r="E134" s="2"/>
      <c r="F134" s="1"/>
    </row>
    <row r="135" spans="1:6" x14ac:dyDescent="0.25">
      <c r="A135">
        <f t="shared" si="4"/>
        <v>123</v>
      </c>
      <c r="B135" s="2">
        <f t="shared" si="5"/>
        <v>24124.513618677003</v>
      </c>
      <c r="C135" s="1">
        <f>1/('NTC PAW-A2W-TSOD'!$J$12+'NTC PAW-A2W-TSOD'!$J$13*LN(B135)+'NTC PAW-A2W-TSOD'!$J$14*(LN(B135))^3)-273.15</f>
        <v>-4.2819177972489229</v>
      </c>
      <c r="E135" s="2"/>
      <c r="F135" s="1"/>
    </row>
    <row r="136" spans="1:6" x14ac:dyDescent="0.25">
      <c r="A136">
        <f t="shared" si="4"/>
        <v>122</v>
      </c>
      <c r="B136" s="2">
        <f t="shared" si="5"/>
        <v>23929.961089494125</v>
      </c>
      <c r="C136" s="1">
        <f>1/('NTC PAW-A2W-TSOD'!$J$12+'NTC PAW-A2W-TSOD'!$J$13*LN(B136)+'NTC PAW-A2W-TSOD'!$J$14*(LN(B136))^3)-273.15</f>
        <v>-4.1151577373322539</v>
      </c>
      <c r="E136" s="2"/>
      <c r="F136" s="1"/>
    </row>
    <row r="137" spans="1:6" x14ac:dyDescent="0.25">
      <c r="A137">
        <f t="shared" si="4"/>
        <v>121</v>
      </c>
      <c r="B137" s="2">
        <f t="shared" si="5"/>
        <v>23735.408560311247</v>
      </c>
      <c r="C137" s="1">
        <f>1/('NTC PAW-A2W-TSOD'!$J$12+'NTC PAW-A2W-TSOD'!$J$13*LN(B137)+'NTC PAW-A2W-TSOD'!$J$14*(LN(B137))^3)-273.15</f>
        <v>-3.9468687714060593</v>
      </c>
      <c r="E137" s="2"/>
      <c r="F137" s="1"/>
    </row>
    <row r="138" spans="1:6" x14ac:dyDescent="0.25">
      <c r="A138">
        <f t="shared" si="4"/>
        <v>120</v>
      </c>
      <c r="B138" s="2">
        <f t="shared" si="5"/>
        <v>23540.856031128369</v>
      </c>
      <c r="C138" s="1">
        <f>1/('NTC PAW-A2W-TSOD'!$J$12+'NTC PAW-A2W-TSOD'!$J$13*LN(B138)+'NTC PAW-A2W-TSOD'!$J$14*(LN(B138))^3)-273.15</f>
        <v>-3.7770240724386781</v>
      </c>
      <c r="E138" s="2"/>
      <c r="F138" s="1"/>
    </row>
    <row r="139" spans="1:6" x14ac:dyDescent="0.25">
      <c r="A139">
        <f t="shared" si="4"/>
        <v>119</v>
      </c>
      <c r="B139" s="2">
        <f t="shared" si="5"/>
        <v>23346.303501945491</v>
      </c>
      <c r="C139" s="1">
        <f>1/('NTC PAW-A2W-TSOD'!$J$12+'NTC PAW-A2W-TSOD'!$J$13*LN(B139)+'NTC PAW-A2W-TSOD'!$J$14*(LN(B139))^3)-273.15</f>
        <v>-3.6055961149046425</v>
      </c>
      <c r="E139" s="2"/>
      <c r="F139" s="1"/>
    </row>
    <row r="140" spans="1:6" x14ac:dyDescent="0.25">
      <c r="A140">
        <f t="shared" si="4"/>
        <v>118</v>
      </c>
      <c r="B140" s="2">
        <f t="shared" si="5"/>
        <v>23151.750972762613</v>
      </c>
      <c r="C140" s="1">
        <f>1/('NTC PAW-A2W-TSOD'!$J$12+'NTC PAW-A2W-TSOD'!$J$13*LN(B140)+'NTC PAW-A2W-TSOD'!$J$14*(LN(B140))^3)-273.15</f>
        <v>-3.4325566505761458</v>
      </c>
      <c r="E140" s="2"/>
      <c r="F140" s="1"/>
    </row>
    <row r="141" spans="1:6" x14ac:dyDescent="0.25">
      <c r="A141">
        <f t="shared" si="4"/>
        <v>117</v>
      </c>
      <c r="B141" s="2">
        <f t="shared" si="5"/>
        <v>22957.198443579735</v>
      </c>
      <c r="C141" s="1">
        <f>1/('NTC PAW-A2W-TSOD'!$J$12+'NTC PAW-A2W-TSOD'!$J$13*LN(B141)+'NTC PAW-A2W-TSOD'!$J$14*(LN(B141))^3)-273.15</f>
        <v>-3.2578766832625661</v>
      </c>
      <c r="E141" s="2"/>
      <c r="F141" s="1"/>
    </row>
    <row r="142" spans="1:6" x14ac:dyDescent="0.25">
      <c r="A142">
        <f t="shared" si="4"/>
        <v>116</v>
      </c>
      <c r="B142" s="2">
        <f t="shared" si="5"/>
        <v>22762.645914396857</v>
      </c>
      <c r="C142" s="1">
        <f>1/('NTC PAW-A2W-TSOD'!$J$12+'NTC PAW-A2W-TSOD'!$J$13*LN(B142)+'NTC PAW-A2W-TSOD'!$J$14*(LN(B142))^3)-273.15</f>
        <v>-3.0815264424443853</v>
      </c>
      <c r="E142" s="2"/>
      <c r="F142" s="1"/>
    </row>
    <row r="143" spans="1:6" x14ac:dyDescent="0.25">
      <c r="A143">
        <f t="shared" si="4"/>
        <v>115</v>
      </c>
      <c r="B143" s="2">
        <f t="shared" si="5"/>
        <v>22568.093385213979</v>
      </c>
      <c r="C143" s="1">
        <f>1/('NTC PAW-A2W-TSOD'!$J$12+'NTC PAW-A2W-TSOD'!$J$13*LN(B143)+'NTC PAW-A2W-TSOD'!$J$14*(LN(B143))^3)-273.15</f>
        <v>-2.9034753557425574</v>
      </c>
      <c r="E143" s="2"/>
      <c r="F143" s="1"/>
    </row>
    <row r="144" spans="1:6" x14ac:dyDescent="0.25">
      <c r="A144">
        <f t="shared" si="4"/>
        <v>114</v>
      </c>
      <c r="B144" s="2">
        <f t="shared" si="5"/>
        <v>22373.540856031101</v>
      </c>
      <c r="C144" s="1">
        <f>1/('NTC PAW-A2W-TSOD'!$J$12+'NTC PAW-A2W-TSOD'!$J$13*LN(B144)+'NTC PAW-A2W-TSOD'!$J$14*(LN(B144))^3)-273.15</f>
        <v>-2.7236920201611383</v>
      </c>
      <c r="E144" s="2"/>
      <c r="F144" s="1"/>
    </row>
    <row r="145" spans="1:6" x14ac:dyDescent="0.25">
      <c r="A145">
        <f t="shared" si="4"/>
        <v>113</v>
      </c>
      <c r="B145" s="2">
        <f t="shared" si="5"/>
        <v>22178.988326848223</v>
      </c>
      <c r="C145" s="1">
        <f>1/('NTC PAW-A2W-TSOD'!$J$12+'NTC PAW-A2W-TSOD'!$J$13*LN(B145)+'NTC PAW-A2W-TSOD'!$J$14*(LN(B145))^3)-273.15</f>
        <v>-2.5421441720374105</v>
      </c>
      <c r="E145" s="2"/>
      <c r="F145" s="1"/>
    </row>
    <row r="146" spans="1:6" x14ac:dyDescent="0.25">
      <c r="A146">
        <f t="shared" si="4"/>
        <v>112</v>
      </c>
      <c r="B146" s="2">
        <f t="shared" si="5"/>
        <v>21984.435797665345</v>
      </c>
      <c r="C146" s="1">
        <f>1/('NTC PAW-A2W-TSOD'!$J$12+'NTC PAW-A2W-TSOD'!$J$13*LN(B146)+'NTC PAW-A2W-TSOD'!$J$14*(LN(B146))^3)-273.15</f>
        <v>-2.3587986556299825</v>
      </c>
      <c r="E146" s="2"/>
      <c r="F146" s="1"/>
    </row>
    <row r="147" spans="1:6" x14ac:dyDescent="0.25">
      <c r="A147">
        <f t="shared" si="4"/>
        <v>111</v>
      </c>
      <c r="B147" s="2">
        <f t="shared" si="5"/>
        <v>21789.883268482467</v>
      </c>
      <c r="C147" s="1">
        <f>1/('NTC PAW-A2W-TSOD'!$J$12+'NTC PAW-A2W-TSOD'!$J$13*LN(B147)+'NTC PAW-A2W-TSOD'!$J$14*(LN(B147))^3)-273.15</f>
        <v>-2.1736213902697727</v>
      </c>
      <c r="E147" s="2"/>
      <c r="F147" s="1"/>
    </row>
    <row r="148" spans="1:6" x14ac:dyDescent="0.25">
      <c r="A148">
        <f t="shared" si="4"/>
        <v>110</v>
      </c>
      <c r="B148" s="2">
        <f t="shared" si="5"/>
        <v>21595.330739299588</v>
      </c>
      <c r="C148" s="1">
        <f>1/('NTC PAW-A2W-TSOD'!$J$12+'NTC PAW-A2W-TSOD'!$J$13*LN(B148)+'NTC PAW-A2W-TSOD'!$J$14*(LN(B148))^3)-273.15</f>
        <v>-1.9865773359945251</v>
      </c>
      <c r="E148" s="2"/>
      <c r="F148" s="1"/>
    </row>
    <row r="149" spans="1:6" x14ac:dyDescent="0.25">
      <c r="A149">
        <f t="shared" si="4"/>
        <v>109</v>
      </c>
      <c r="B149" s="2">
        <f t="shared" si="5"/>
        <v>21400.77821011671</v>
      </c>
      <c r="C149" s="1">
        <f>1/('NTC PAW-A2W-TSOD'!$J$12+'NTC PAW-A2W-TSOD'!$J$13*LN(B149)+'NTC PAW-A2W-TSOD'!$J$14*(LN(B149))^3)-273.15</f>
        <v>-1.7976304575836366</v>
      </c>
      <c r="E149" s="2"/>
      <c r="F149" s="1"/>
    </row>
    <row r="150" spans="1:6" x14ac:dyDescent="0.25">
      <c r="A150">
        <f t="shared" si="4"/>
        <v>108</v>
      </c>
      <c r="B150" s="2">
        <f t="shared" si="5"/>
        <v>21206.225680933832</v>
      </c>
      <c r="C150" s="1">
        <f>1/('NTC PAW-A2W-TSOD'!$J$12+'NTC PAW-A2W-TSOD'!$J$13*LN(B150)+'NTC PAW-A2W-TSOD'!$J$14*(LN(B150))^3)-273.15</f>
        <v>-1.6067436869018366</v>
      </c>
      <c r="E150" s="2"/>
      <c r="F150" s="1"/>
    </row>
    <row r="151" spans="1:6" x14ac:dyDescent="0.25">
      <c r="A151">
        <f t="shared" si="4"/>
        <v>107</v>
      </c>
      <c r="B151" s="2">
        <f t="shared" si="5"/>
        <v>21011.673151750954</v>
      </c>
      <c r="C151" s="1">
        <f>1/('NTC PAW-A2W-TSOD'!$J$12+'NTC PAW-A2W-TSOD'!$J$13*LN(B151)+'NTC PAW-A2W-TSOD'!$J$14*(LN(B151))^3)-273.15</f>
        <v>-1.413878883456789</v>
      </c>
      <c r="E151" s="2"/>
      <c r="F151" s="1"/>
    </row>
    <row r="152" spans="1:6" x14ac:dyDescent="0.25">
      <c r="A152">
        <f t="shared" si="4"/>
        <v>106</v>
      </c>
      <c r="B152" s="2">
        <f t="shared" si="5"/>
        <v>20817.120622568076</v>
      </c>
      <c r="C152" s="1">
        <f>1/('NTC PAW-A2W-TSOD'!$J$12+'NTC PAW-A2W-TSOD'!$J$13*LN(B152)+'NTC PAW-A2W-TSOD'!$J$14*(LN(B152))^3)-273.15</f>
        <v>-1.218996793068527</v>
      </c>
      <c r="E152" s="2"/>
      <c r="F152" s="1"/>
    </row>
    <row r="153" spans="1:6" x14ac:dyDescent="0.25">
      <c r="A153">
        <f t="shared" si="4"/>
        <v>105</v>
      </c>
      <c r="B153" s="2">
        <f t="shared" si="5"/>
        <v>20622.568093385198</v>
      </c>
      <c r="C153" s="1">
        <f>1/('NTC PAW-A2W-TSOD'!$J$12+'NTC PAW-A2W-TSOD'!$J$13*LN(B153)+'NTC PAW-A2W-TSOD'!$J$14*(LN(B153))^3)-273.15</f>
        <v>-1.0220570045414092</v>
      </c>
      <c r="E153" s="2"/>
      <c r="F153" s="1"/>
    </row>
    <row r="154" spans="1:6" x14ac:dyDescent="0.25">
      <c r="A154">
        <f t="shared" si="4"/>
        <v>104</v>
      </c>
      <c r="B154" s="2">
        <f t="shared" si="5"/>
        <v>20428.01556420232</v>
      </c>
      <c r="C154" s="1">
        <f>1/('NTC PAW-A2W-TSOD'!$J$12+'NTC PAW-A2W-TSOD'!$J$13*LN(B154)+'NTC PAW-A2W-TSOD'!$J$14*(LN(B154))^3)-273.15</f>
        <v>-0.82301790422195609</v>
      </c>
      <c r="E154" s="2"/>
      <c r="F154" s="1"/>
    </row>
    <row r="155" spans="1:6" x14ac:dyDescent="0.25">
      <c r="A155">
        <f t="shared" si="4"/>
        <v>103</v>
      </c>
      <c r="B155" s="2">
        <f t="shared" si="5"/>
        <v>20233.463035019442</v>
      </c>
      <c r="C155" s="1">
        <f>1/('NTC PAW-A2W-TSOD'!$J$12+'NTC PAW-A2W-TSOD'!$J$13*LN(B155)+'NTC PAW-A2W-TSOD'!$J$14*(LN(B155))^3)-273.15</f>
        <v>-0.6218366283185901</v>
      </c>
      <c r="E155" s="2"/>
      <c r="F155" s="1"/>
    </row>
    <row r="156" spans="1:6" x14ac:dyDescent="0.25">
      <c r="A156">
        <f t="shared" si="4"/>
        <v>102</v>
      </c>
      <c r="B156" s="2">
        <f t="shared" si="5"/>
        <v>20038.910505836564</v>
      </c>
      <c r="C156" s="1">
        <f>1/('NTC PAW-A2W-TSOD'!$J$12+'NTC PAW-A2W-TSOD'!$J$13*LN(B156)+'NTC PAW-A2W-TSOD'!$J$14*(LN(B156))^3)-273.15</f>
        <v>-0.41846901284992555</v>
      </c>
      <c r="E156" s="2"/>
      <c r="F156" s="1"/>
    </row>
    <row r="157" spans="1:6" x14ac:dyDescent="0.25">
      <c r="A157">
        <f t="shared" si="4"/>
        <v>101</v>
      </c>
      <c r="B157" s="2">
        <f t="shared" si="5"/>
        <v>19844.357976653686</v>
      </c>
      <c r="C157" s="1">
        <f>1/('NTC PAW-A2W-TSOD'!$J$12+'NTC PAW-A2W-TSOD'!$J$13*LN(B157)+'NTC PAW-A2W-TSOD'!$J$14*(LN(B157))^3)-273.15</f>
        <v>-0.2128695410795558</v>
      </c>
      <c r="E157" s="2"/>
      <c r="F157" s="1"/>
    </row>
    <row r="158" spans="1:6" x14ac:dyDescent="0.25">
      <c r="A158">
        <f t="shared" si="4"/>
        <v>100</v>
      </c>
      <c r="B158" s="2">
        <f t="shared" si="5"/>
        <v>19649.805447470808</v>
      </c>
      <c r="C158" s="1">
        <f>1/('NTC PAW-A2W-TSOD'!$J$12+'NTC PAW-A2W-TSOD'!$J$13*LN(B158)+'NTC PAW-A2W-TSOD'!$J$14*(LN(B158))^3)-273.15</f>
        <v>-4.9912882846001594E-3</v>
      </c>
      <c r="E158" s="2"/>
      <c r="F158" s="1"/>
    </row>
    <row r="159" spans="1:6" x14ac:dyDescent="0.25">
      <c r="A159">
        <f t="shared" si="4"/>
        <v>99</v>
      </c>
      <c r="B159" s="2">
        <f t="shared" si="5"/>
        <v>19455.25291828793</v>
      </c>
      <c r="C159" s="1">
        <f>1/('NTC PAW-A2W-TSOD'!$J$12+'NTC PAW-A2W-TSOD'!$J$13*LN(B159)+'NTC PAW-A2W-TSOD'!$J$14*(LN(B159))^3)-273.15</f>
        <v>0.2052141363044484</v>
      </c>
      <c r="E159" s="2"/>
      <c r="F159" s="1"/>
    </row>
    <row r="160" spans="1:6" x14ac:dyDescent="0.25">
      <c r="A160">
        <f t="shared" si="4"/>
        <v>98</v>
      </c>
      <c r="B160" s="2">
        <f t="shared" si="5"/>
        <v>19260.700389105052</v>
      </c>
      <c r="C160" s="1">
        <f>1/('NTC PAW-A2W-TSOD'!$J$12+'NTC PAW-A2W-TSOD'!$J$13*LN(B160)+'NTC PAW-A2W-TSOD'!$J$14*(LN(B160))^3)-273.15</f>
        <v>0.41779665056805015</v>
      </c>
      <c r="E160" s="2"/>
      <c r="F160" s="1"/>
    </row>
    <row r="161" spans="1:6" x14ac:dyDescent="0.25">
      <c r="A161">
        <f t="shared" si="4"/>
        <v>97</v>
      </c>
      <c r="B161" s="2">
        <f t="shared" si="5"/>
        <v>19066.147859922174</v>
      </c>
      <c r="C161" s="1">
        <f>1/('NTC PAW-A2W-TSOD'!$J$12+'NTC PAW-A2W-TSOD'!$J$13*LN(B161)+'NTC PAW-A2W-TSOD'!$J$14*(LN(B161))^3)-273.15</f>
        <v>0.63280776375398773</v>
      </c>
      <c r="E161" s="2"/>
      <c r="F161" s="1"/>
    </row>
    <row r="162" spans="1:6" x14ac:dyDescent="0.25">
      <c r="A162">
        <f t="shared" si="4"/>
        <v>96</v>
      </c>
      <c r="B162" s="2">
        <f t="shared" si="5"/>
        <v>18871.595330739296</v>
      </c>
      <c r="C162" s="1">
        <f>1/('NTC PAW-A2W-TSOD'!$J$12+'NTC PAW-A2W-TSOD'!$J$13*LN(B162)+'NTC PAW-A2W-TSOD'!$J$14*(LN(B162))^3)-273.15</f>
        <v>0.85030064412603679</v>
      </c>
      <c r="E162" s="2"/>
      <c r="F162" s="1"/>
    </row>
    <row r="163" spans="1:6" x14ac:dyDescent="0.25">
      <c r="A163">
        <f t="shared" si="4"/>
        <v>95</v>
      </c>
      <c r="B163" s="2">
        <f t="shared" si="5"/>
        <v>18677.042801556418</v>
      </c>
      <c r="C163" s="1">
        <f>1/('NTC PAW-A2W-TSOD'!$J$12+'NTC PAW-A2W-TSOD'!$J$13*LN(B163)+'NTC PAW-A2W-TSOD'!$J$14*(LN(B163))^3)-273.15</f>
        <v>1.0703301902225348</v>
      </c>
      <c r="E163" s="2"/>
      <c r="F163" s="1"/>
    </row>
    <row r="164" spans="1:6" x14ac:dyDescent="0.25">
      <c r="A164">
        <f t="shared" si="4"/>
        <v>94</v>
      </c>
      <c r="B164" s="2">
        <f t="shared" si="5"/>
        <v>18482.490272373539</v>
      </c>
      <c r="C164" s="1">
        <f>1/('NTC PAW-A2W-TSOD'!$J$12+'NTC PAW-A2W-TSOD'!$J$13*LN(B164)+'NTC PAW-A2W-TSOD'!$J$14*(LN(B164))^3)-273.15</f>
        <v>1.2929531059564852</v>
      </c>
      <c r="E164" s="2"/>
      <c r="F164" s="1"/>
    </row>
    <row r="165" spans="1:6" x14ac:dyDescent="0.25">
      <c r="A165">
        <f t="shared" si="4"/>
        <v>93</v>
      </c>
      <c r="B165" s="2">
        <f t="shared" si="5"/>
        <v>18287.937743190661</v>
      </c>
      <c r="C165" s="1">
        <f>1/('NTC PAW-A2W-TSOD'!$J$12+'NTC PAW-A2W-TSOD'!$J$13*LN(B165)+'NTC PAW-A2W-TSOD'!$J$14*(LN(B165))^3)-273.15</f>
        <v>1.5182279798076479</v>
      </c>
      <c r="E165" s="2"/>
      <c r="F165" s="1"/>
    </row>
    <row r="166" spans="1:6" x14ac:dyDescent="0.25">
      <c r="A166">
        <f t="shared" si="4"/>
        <v>92</v>
      </c>
      <c r="B166" s="2">
        <f t="shared" si="5"/>
        <v>18093.385214007783</v>
      </c>
      <c r="C166" s="1">
        <f>1/('NTC PAW-A2W-TSOD'!$J$12+'NTC PAW-A2W-TSOD'!$J$13*LN(B166)+'NTC PAW-A2W-TSOD'!$J$14*(LN(B166))^3)-273.15</f>
        <v>1.7462153683758288</v>
      </c>
      <c r="E166" s="2"/>
      <c r="F166" s="1"/>
    </row>
    <row r="167" spans="1:6" x14ac:dyDescent="0.25">
      <c r="A167">
        <f t="shared" si="4"/>
        <v>91</v>
      </c>
      <c r="B167" s="2">
        <f t="shared" si="5"/>
        <v>17898.832684824905</v>
      </c>
      <c r="C167" s="1">
        <f>1/('NTC PAW-A2W-TSOD'!$J$12+'NTC PAW-A2W-TSOD'!$J$13*LN(B167)+'NTC PAW-A2W-TSOD'!$J$14*(LN(B167))^3)-273.15</f>
        <v>1.9769778845854376</v>
      </c>
      <c r="E167" s="2"/>
      <c r="F167" s="1"/>
    </row>
    <row r="168" spans="1:6" x14ac:dyDescent="0.25">
      <c r="A168">
        <f t="shared" si="4"/>
        <v>90</v>
      </c>
      <c r="B168" s="2">
        <f t="shared" si="5"/>
        <v>17704.280155642027</v>
      </c>
      <c r="C168" s="1">
        <f>1/('NTC PAW-A2W-TSOD'!$J$12+'NTC PAW-A2W-TSOD'!$J$13*LN(B168)+'NTC PAW-A2W-TSOD'!$J$14*(LN(B168))^3)-273.15</f>
        <v>2.2105802908544092</v>
      </c>
      <c r="E168" s="2"/>
      <c r="F168" s="1"/>
    </row>
    <row r="169" spans="1:6" x14ac:dyDescent="0.25">
      <c r="A169">
        <f t="shared" si="4"/>
        <v>89</v>
      </c>
      <c r="B169" s="2">
        <f t="shared" si="5"/>
        <v>17509.727626459149</v>
      </c>
      <c r="C169" s="1">
        <f>1/('NTC PAW-A2W-TSOD'!$J$12+'NTC PAW-A2W-TSOD'!$J$13*LN(B169)+'NTC PAW-A2W-TSOD'!$J$14*(LN(B169))^3)-273.15</f>
        <v>2.4470895975640019</v>
      </c>
      <c r="E169" s="2"/>
      <c r="F169" s="1"/>
    </row>
    <row r="170" spans="1:6" x14ac:dyDescent="0.25">
      <c r="A170">
        <f t="shared" si="4"/>
        <v>88</v>
      </c>
      <c r="B170" s="2">
        <f t="shared" si="5"/>
        <v>17315.175097276271</v>
      </c>
      <c r="C170" s="1">
        <f>1/('NTC PAW-A2W-TSOD'!$J$12+'NTC PAW-A2W-TSOD'!$J$13*LN(B170)+'NTC PAW-A2W-TSOD'!$J$14*(LN(B170))^3)-273.15</f>
        <v>2.686575167195258</v>
      </c>
      <c r="E170" s="2"/>
      <c r="F170" s="1"/>
    </row>
    <row r="171" spans="1:6" x14ac:dyDescent="0.25">
      <c r="A171">
        <f t="shared" si="4"/>
        <v>87</v>
      </c>
      <c r="B171" s="2">
        <f t="shared" si="5"/>
        <v>17120.622568093393</v>
      </c>
      <c r="C171" s="1">
        <f>1/('NTC PAW-A2W-TSOD'!$J$12+'NTC PAW-A2W-TSOD'!$J$13*LN(B171)+'NTC PAW-A2W-TSOD'!$J$14*(LN(B171))^3)-273.15</f>
        <v>2.9291088245252581</v>
      </c>
      <c r="E171" s="2"/>
      <c r="F171" s="1"/>
    </row>
    <row r="172" spans="1:6" x14ac:dyDescent="0.25">
      <c r="A172">
        <f t="shared" si="4"/>
        <v>86</v>
      </c>
      <c r="B172" s="2">
        <f t="shared" si="5"/>
        <v>16926.070038910515</v>
      </c>
      <c r="C172" s="1">
        <f>1/('NTC PAW-A2W-TSOD'!$J$12+'NTC PAW-A2W-TSOD'!$J$13*LN(B172)+'NTC PAW-A2W-TSOD'!$J$14*(LN(B172))^3)-273.15</f>
        <v>3.1747649733097774</v>
      </c>
      <c r="E172" s="2"/>
      <c r="F172" s="1"/>
    </row>
    <row r="173" spans="1:6" x14ac:dyDescent="0.25">
      <c r="A173">
        <f t="shared" si="4"/>
        <v>85</v>
      </c>
      <c r="B173" s="2">
        <f t="shared" si="5"/>
        <v>16731.517509727637</v>
      </c>
      <c r="C173" s="1">
        <f>1/('NTC PAW-A2W-TSOD'!$J$12+'NTC PAW-A2W-TSOD'!$J$13*LN(B173)+'NTC PAW-A2W-TSOD'!$J$14*(LN(B173))^3)-273.15</f>
        <v>3.4236207199130035</v>
      </c>
      <c r="E173" s="2"/>
      <c r="F173" s="1"/>
    </row>
    <row r="174" spans="1:6" x14ac:dyDescent="0.25">
      <c r="A174">
        <f t="shared" si="4"/>
        <v>84</v>
      </c>
      <c r="B174" s="2">
        <f t="shared" si="5"/>
        <v>16536.964980544759</v>
      </c>
      <c r="C174" s="1">
        <f>1/('NTC PAW-A2W-TSOD'!$J$12+'NTC PAW-A2W-TSOD'!$J$13*LN(B174)+'NTC PAW-A2W-TSOD'!$J$14*(LN(B174))^3)-273.15</f>
        <v>3.6757560043856756</v>
      </c>
      <c r="E174" s="2"/>
      <c r="F174" s="1"/>
    </row>
    <row r="175" spans="1:6" x14ac:dyDescent="0.25">
      <c r="A175">
        <f t="shared" si="4"/>
        <v>83</v>
      </c>
      <c r="B175" s="2">
        <f t="shared" si="5"/>
        <v>16342.412451361881</v>
      </c>
      <c r="C175" s="1">
        <f>1/('NTC PAW-A2W-TSOD'!$J$12+'NTC PAW-A2W-TSOD'!$J$13*LN(B175)+'NTC PAW-A2W-TSOD'!$J$14*(LN(B175))^3)-273.15</f>
        <v>3.9312537395333607</v>
      </c>
      <c r="E175" s="2"/>
      <c r="F175" s="1"/>
    </row>
    <row r="176" spans="1:6" x14ac:dyDescent="0.25">
      <c r="A176">
        <f t="shared" si="4"/>
        <v>82</v>
      </c>
      <c r="B176" s="2">
        <f t="shared" si="5"/>
        <v>16147.859922179001</v>
      </c>
      <c r="C176" s="1">
        <f>1/('NTC PAW-A2W-TSOD'!$J$12+'NTC PAW-A2W-TSOD'!$J$13*LN(B176)+'NTC PAW-A2W-TSOD'!$J$14*(LN(B176))^3)-273.15</f>
        <v>4.1901999585631415</v>
      </c>
      <c r="E176" s="2"/>
      <c r="F176" s="1"/>
    </row>
    <row r="177" spans="1:6" x14ac:dyDescent="0.25">
      <c r="A177">
        <f t="shared" si="4"/>
        <v>81</v>
      </c>
      <c r="B177" s="2">
        <f t="shared" si="5"/>
        <v>15953.307392996121</v>
      </c>
      <c r="C177" s="1">
        <f>1/('NTC PAW-A2W-TSOD'!$J$12+'NTC PAW-A2W-TSOD'!$J$13*LN(B177)+'NTC PAW-A2W-TSOD'!$J$14*(LN(B177))^3)-273.15</f>
        <v>4.4526839719505347</v>
      </c>
      <c r="E177" s="2"/>
      <c r="F177" s="1"/>
    </row>
    <row r="178" spans="1:6" x14ac:dyDescent="0.25">
      <c r="A178">
        <f t="shared" si="4"/>
        <v>80</v>
      </c>
      <c r="B178" s="2">
        <f t="shared" si="5"/>
        <v>15758.754863813241</v>
      </c>
      <c r="C178" s="1">
        <f>1/('NTC PAW-A2W-TSOD'!$J$12+'NTC PAW-A2W-TSOD'!$J$13*LN(B178)+'NTC PAW-A2W-TSOD'!$J$14*(LN(B178))^3)-273.15</f>
        <v>4.7187985342207526</v>
      </c>
      <c r="E178" s="2"/>
      <c r="F178" s="1"/>
    </row>
    <row r="179" spans="1:6" x14ac:dyDescent="0.25">
      <c r="A179">
        <f t="shared" si="4"/>
        <v>79</v>
      </c>
      <c r="B179" s="2">
        <f t="shared" si="5"/>
        <v>15564.202334630361</v>
      </c>
      <c r="C179" s="1">
        <f>1/('NTC PAW-A2W-TSOD'!$J$12+'NTC PAW-A2W-TSOD'!$J$13*LN(B179)+'NTC PAW-A2W-TSOD'!$J$14*(LN(B179))^3)-273.15</f>
        <v>4.9886400214043647</v>
      </c>
      <c r="E179" s="2"/>
      <c r="F179" s="1"/>
    </row>
    <row r="180" spans="1:6" x14ac:dyDescent="0.25">
      <c r="A180">
        <f t="shared" si="4"/>
        <v>78</v>
      </c>
      <c r="B180" s="2">
        <f t="shared" si="5"/>
        <v>15369.649805447481</v>
      </c>
      <c r="C180" s="1">
        <f>1/('NTC PAW-A2W-TSOD'!$J$12+'NTC PAW-A2W-TSOD'!$J$13*LN(B180)+'NTC PAW-A2W-TSOD'!$J$14*(LN(B180))^3)-273.15</f>
        <v>5.2623086199927229</v>
      </c>
      <c r="E180" s="2"/>
      <c r="F180" s="1"/>
    </row>
    <row r="181" spans="1:6" x14ac:dyDescent="0.25">
      <c r="A181">
        <f t="shared" si="4"/>
        <v>77</v>
      </c>
      <c r="B181" s="2">
        <f t="shared" si="5"/>
        <v>15175.097276264602</v>
      </c>
      <c r="C181" s="1">
        <f>1/('NTC PAW-A2W-TSOD'!$J$12+'NTC PAW-A2W-TSOD'!$J$13*LN(B181)+'NTC PAW-A2W-TSOD'!$J$14*(LN(B181))^3)-273.15</f>
        <v>5.539908528294859</v>
      </c>
      <c r="E181" s="2"/>
      <c r="F181" s="1"/>
    </row>
    <row r="182" spans="1:6" x14ac:dyDescent="0.25">
      <c r="A182">
        <f t="shared" si="4"/>
        <v>76</v>
      </c>
      <c r="B182" s="2">
        <f t="shared" si="5"/>
        <v>14980.544747081722</v>
      </c>
      <c r="C182" s="1">
        <f>1/('NTC PAW-A2W-TSOD'!$J$12+'NTC PAW-A2W-TSOD'!$J$13*LN(B182)+'NTC PAW-A2W-TSOD'!$J$14*(LN(B182))^3)-273.15</f>
        <v>5.8215481711819166</v>
      </c>
      <c r="E182" s="2"/>
      <c r="F182" s="1"/>
    </row>
    <row r="183" spans="1:6" x14ac:dyDescent="0.25">
      <c r="A183">
        <f t="shared" si="4"/>
        <v>75</v>
      </c>
      <c r="B183" s="2">
        <f t="shared" si="5"/>
        <v>14785.992217898842</v>
      </c>
      <c r="C183" s="1">
        <f>1/('NTC PAW-A2W-TSOD'!$J$12+'NTC PAW-A2W-TSOD'!$J$13*LN(B183)+'NTC PAW-A2W-TSOD'!$J$14*(LN(B183))^3)-273.15</f>
        <v>6.1073404292957321</v>
      </c>
      <c r="E183" s="2"/>
      <c r="F183" s="1"/>
    </row>
    <row r="184" spans="1:6" x14ac:dyDescent="0.25">
      <c r="A184">
        <f t="shared" si="4"/>
        <v>74</v>
      </c>
      <c r="B184" s="2">
        <f t="shared" si="5"/>
        <v>14591.439688715962</v>
      </c>
      <c r="C184" s="1">
        <f>1/('NTC PAW-A2W-TSOD'!$J$12+'NTC PAW-A2W-TSOD'!$J$13*LN(B184)+'NTC PAW-A2W-TSOD'!$J$14*(LN(B184))^3)-273.15</f>
        <v>6.3974028839008952</v>
      </c>
      <c r="E184" s="2"/>
      <c r="F184" s="1"/>
    </row>
    <row r="185" spans="1:6" x14ac:dyDescent="0.25">
      <c r="A185">
        <f t="shared" si="4"/>
        <v>73</v>
      </c>
      <c r="B185" s="2">
        <f t="shared" si="5"/>
        <v>14396.887159533082</v>
      </c>
      <c r="C185" s="1">
        <f>1/('NTC PAW-A2W-TSOD'!$J$12+'NTC PAW-A2W-TSOD'!$J$13*LN(B185)+'NTC PAW-A2W-TSOD'!$J$14*(LN(B185))^3)-273.15</f>
        <v>6.6918580786735333</v>
      </c>
      <c r="E185" s="2"/>
      <c r="F185" s="1"/>
    </row>
    <row r="186" spans="1:6" x14ac:dyDescent="0.25">
      <c r="A186">
        <f t="shared" si="4"/>
        <v>72</v>
      </c>
      <c r="B186" s="2">
        <f t="shared" si="5"/>
        <v>14202.334630350202</v>
      </c>
      <c r="C186" s="1">
        <f>1/('NTC PAW-A2W-TSOD'!$J$12+'NTC PAW-A2W-TSOD'!$J$13*LN(B186)+'NTC PAW-A2W-TSOD'!$J$14*(LN(B186))^3)-273.15</f>
        <v>6.9908337998458023</v>
      </c>
      <c r="E186" s="2"/>
      <c r="F186" s="1"/>
    </row>
    <row r="187" spans="1:6" x14ac:dyDescent="0.25">
      <c r="A187">
        <f t="shared" si="4"/>
        <v>71</v>
      </c>
      <c r="B187" s="2">
        <f t="shared" si="5"/>
        <v>14007.782101167322</v>
      </c>
      <c r="C187" s="1">
        <f>1/('NTC PAW-A2W-TSOD'!$J$12+'NTC PAW-A2W-TSOD'!$J$13*LN(B187)+'NTC PAW-A2W-TSOD'!$J$14*(LN(B187))^3)-273.15</f>
        <v>7.2944633762645594</v>
      </c>
      <c r="E187" s="2"/>
      <c r="F187" s="1"/>
    </row>
    <row r="188" spans="1:6" x14ac:dyDescent="0.25">
      <c r="A188">
        <f t="shared" si="4"/>
        <v>70</v>
      </c>
      <c r="B188" s="2">
        <f t="shared" si="5"/>
        <v>13813.229571984442</v>
      </c>
      <c r="C188" s="1">
        <f>1/('NTC PAW-A2W-TSOD'!$J$12+'NTC PAW-A2W-TSOD'!$J$13*LN(B188)+'NTC PAW-A2W-TSOD'!$J$14*(LN(B188))^3)-273.15</f>
        <v>7.6028860010790709</v>
      </c>
      <c r="E188" s="2"/>
      <c r="F188" s="1"/>
    </row>
    <row r="189" spans="1:6" x14ac:dyDescent="0.25">
      <c r="A189">
        <f t="shared" si="4"/>
        <v>69</v>
      </c>
      <c r="B189" s="2">
        <f t="shared" si="5"/>
        <v>13618.677042801562</v>
      </c>
      <c r="C189" s="1">
        <f>1/('NTC PAW-A2W-TSOD'!$J$12+'NTC PAW-A2W-TSOD'!$J$13*LN(B189)+'NTC PAW-A2W-TSOD'!$J$14*(LN(B189))^3)-273.15</f>
        <v>7.9162470769481388</v>
      </c>
      <c r="E189" s="2"/>
      <c r="F189" s="1"/>
    </row>
    <row r="190" spans="1:6" x14ac:dyDescent="0.25">
      <c r="A190">
        <f t="shared" si="4"/>
        <v>68</v>
      </c>
      <c r="B190" s="2">
        <f t="shared" si="5"/>
        <v>13424.124513618683</v>
      </c>
      <c r="C190" s="1">
        <f>1/('NTC PAW-A2W-TSOD'!$J$12+'NTC PAW-A2W-TSOD'!$J$13*LN(B190)+'NTC PAW-A2W-TSOD'!$J$14*(LN(B190))^3)-273.15</f>
        <v>8.2346985868497882</v>
      </c>
      <c r="E190" s="2"/>
      <c r="F190" s="1"/>
    </row>
    <row r="191" spans="1:6" x14ac:dyDescent="0.25">
      <c r="A191">
        <f t="shared" si="4"/>
        <v>67</v>
      </c>
      <c r="B191" s="2">
        <f t="shared" si="5"/>
        <v>13229.571984435803</v>
      </c>
      <c r="C191" s="1">
        <f>1/('NTC PAW-A2W-TSOD'!$J$12+'NTC PAW-A2W-TSOD'!$J$13*LN(B191)+'NTC PAW-A2W-TSOD'!$J$14*(LN(B191))^3)-273.15</f>
        <v>8.5583994927946492</v>
      </c>
      <c r="E191" s="2"/>
      <c r="F191" s="1"/>
    </row>
    <row r="192" spans="1:6" x14ac:dyDescent="0.25">
      <c r="A192">
        <f t="shared" si="4"/>
        <v>66</v>
      </c>
      <c r="B192" s="2">
        <f t="shared" si="5"/>
        <v>13035.019455252923</v>
      </c>
      <c r="C192" s="1">
        <f>1/('NTC PAW-A2W-TSOD'!$J$12+'NTC PAW-A2W-TSOD'!$J$13*LN(B192)+'NTC PAW-A2W-TSOD'!$J$14*(LN(B192))^3)-273.15</f>
        <v>8.8875161649917231</v>
      </c>
      <c r="E192" s="2"/>
      <c r="F192" s="1"/>
    </row>
    <row r="193" spans="1:6" x14ac:dyDescent="0.25">
      <c r="A193">
        <f t="shared" si="4"/>
        <v>65</v>
      </c>
      <c r="B193" s="2">
        <f t="shared" si="5"/>
        <v>12840.466926070043</v>
      </c>
      <c r="C193" s="1">
        <f>1/('NTC PAW-A2W-TSOD'!$J$12+'NTC PAW-A2W-TSOD'!$J$13*LN(B193)+'NTC PAW-A2W-TSOD'!$J$14*(LN(B193))^3)-273.15</f>
        <v>9.2222228442836922</v>
      </c>
      <c r="E193" s="2"/>
      <c r="F193" s="1"/>
    </row>
    <row r="194" spans="1:6" x14ac:dyDescent="0.25">
      <c r="A194">
        <f t="shared" ref="A194:A257" si="6">A195+1</f>
        <v>64</v>
      </c>
      <c r="B194" s="2">
        <f t="shared" ref="B194:B257" si="7">B195+$H$2</f>
        <v>12645.914396887163</v>
      </c>
      <c r="C194" s="1">
        <f>1/('NTC PAW-A2W-TSOD'!$J$12+'NTC PAW-A2W-TSOD'!$J$13*LN(B194)+'NTC PAW-A2W-TSOD'!$J$14*(LN(B194))^3)-273.15</f>
        <v>9.5627021409831627</v>
      </c>
      <c r="E194" s="2"/>
      <c r="F194" s="1"/>
    </row>
    <row r="195" spans="1:6" x14ac:dyDescent="0.25">
      <c r="A195">
        <f t="shared" si="6"/>
        <v>63</v>
      </c>
      <c r="B195" s="2">
        <f t="shared" si="7"/>
        <v>12451.361867704283</v>
      </c>
      <c r="C195" s="1">
        <f>1/('NTC PAW-A2W-TSOD'!$J$12+'NTC PAW-A2W-TSOD'!$J$13*LN(B195)+'NTC PAW-A2W-TSOD'!$J$14*(LN(B195))^3)-273.15</f>
        <v>9.9091455735847944</v>
      </c>
      <c r="E195" s="2"/>
      <c r="F195" s="1"/>
    </row>
    <row r="196" spans="1:6" x14ac:dyDescent="0.25">
      <c r="A196">
        <f t="shared" si="6"/>
        <v>62</v>
      </c>
      <c r="B196" s="2">
        <f t="shared" si="7"/>
        <v>12256.809338521403</v>
      </c>
      <c r="C196" s="1">
        <f>1/('NTC PAW-A2W-TSOD'!$J$12+'NTC PAW-A2W-TSOD'!$J$13*LN(B196)+'NTC PAW-A2W-TSOD'!$J$14*(LN(B196))^3)-273.15</f>
        <v>10.26175415122259</v>
      </c>
      <c r="E196" s="2"/>
      <c r="F196" s="1"/>
    </row>
    <row r="197" spans="1:6" x14ac:dyDescent="0.25">
      <c r="A197">
        <f t="shared" si="6"/>
        <v>61</v>
      </c>
      <c r="B197" s="2">
        <f t="shared" si="7"/>
        <v>12062.256809338523</v>
      </c>
      <c r="C197" s="1">
        <f>1/('NTC PAW-A2W-TSOD'!$J$12+'NTC PAW-A2W-TSOD'!$J$13*LN(B197)+'NTC PAW-A2W-TSOD'!$J$14*(LN(B197))^3)-273.15</f>
        <v>10.620739004183633</v>
      </c>
      <c r="E197" s="2"/>
      <c r="F197" s="1"/>
    </row>
    <row r="198" spans="1:6" x14ac:dyDescent="0.25">
      <c r="A198">
        <f t="shared" si="6"/>
        <v>60</v>
      </c>
      <c r="B198" s="2">
        <f t="shared" si="7"/>
        <v>11867.704280155644</v>
      </c>
      <c r="C198" s="1">
        <f>1/('NTC PAW-A2W-TSOD'!$J$12+'NTC PAW-A2W-TSOD'!$J$13*LN(B198)+'NTC PAW-A2W-TSOD'!$J$14*(LN(B198))^3)-273.15</f>
        <v>10.986322067293429</v>
      </c>
      <c r="E198" s="2"/>
      <c r="F198" s="1"/>
    </row>
    <row r="199" spans="1:6" x14ac:dyDescent="0.25">
      <c r="A199">
        <f t="shared" si="6"/>
        <v>59</v>
      </c>
      <c r="B199" s="2">
        <f t="shared" si="7"/>
        <v>11673.151750972764</v>
      </c>
      <c r="C199" s="1">
        <f>1/('NTC PAW-A2W-TSOD'!$J$12+'NTC PAW-A2W-TSOD'!$J$13*LN(B199)+'NTC PAW-A2W-TSOD'!$J$14*(LN(B199))^3)-273.15</f>
        <v>11.358736821556761</v>
      </c>
      <c r="E199" s="2"/>
      <c r="F199" s="1"/>
    </row>
    <row r="200" spans="1:6" x14ac:dyDescent="0.25">
      <c r="A200">
        <f t="shared" si="6"/>
        <v>58</v>
      </c>
      <c r="B200" s="2">
        <f t="shared" si="7"/>
        <v>11478.599221789884</v>
      </c>
      <c r="C200" s="1">
        <f>1/('NTC PAW-A2W-TSOD'!$J$12+'NTC PAW-A2W-TSOD'!$J$13*LN(B200)+'NTC PAW-A2W-TSOD'!$J$14*(LN(B200))^3)-273.15</f>
        <v>11.738229100087153</v>
      </c>
      <c r="E200" s="2"/>
      <c r="F200" s="1"/>
    </row>
    <row r="201" spans="1:6" x14ac:dyDescent="0.25">
      <c r="A201">
        <f t="shared" si="6"/>
        <v>57</v>
      </c>
      <c r="B201" s="2">
        <f t="shared" si="7"/>
        <v>11284.046692607004</v>
      </c>
      <c r="C201" s="1">
        <f>1/('NTC PAW-A2W-TSOD'!$J$12+'NTC PAW-A2W-TSOD'!$J$13*LN(B201)+'NTC PAW-A2W-TSOD'!$J$14*(LN(B201))^3)-273.15</f>
        <v>12.125057965097369</v>
      </c>
      <c r="E201" s="2"/>
      <c r="F201" s="1"/>
    </row>
    <row r="202" spans="1:6" x14ac:dyDescent="0.25">
      <c r="A202">
        <f t="shared" si="6"/>
        <v>56</v>
      </c>
      <c r="B202" s="2">
        <f t="shared" si="7"/>
        <v>11089.494163424124</v>
      </c>
      <c r="C202" s="1">
        <f>1/('NTC PAW-A2W-TSOD'!$J$12+'NTC PAW-A2W-TSOD'!$J$13*LN(B202)+'NTC PAW-A2W-TSOD'!$J$14*(LN(B202))^3)-273.15</f>
        <v>12.51949666356677</v>
      </c>
      <c r="E202" s="2"/>
      <c r="F202" s="1"/>
    </row>
    <row r="203" spans="1:6" x14ac:dyDescent="0.25">
      <c r="A203">
        <f t="shared" si="6"/>
        <v>55</v>
      </c>
      <c r="B203" s="2">
        <f t="shared" si="7"/>
        <v>10894.941634241244</v>
      </c>
      <c r="C203" s="1">
        <f>1/('NTC PAW-A2W-TSOD'!$J$12+'NTC PAW-A2W-TSOD'!$J$13*LN(B203)+'NTC PAW-A2W-TSOD'!$J$14*(LN(B203))^3)-273.15</f>
        <v>12.921833670167189</v>
      </c>
      <c r="E203" s="2"/>
      <c r="F203" s="1"/>
    </row>
    <row r="204" spans="1:6" x14ac:dyDescent="0.25">
      <c r="A204">
        <f t="shared" si="6"/>
        <v>54</v>
      </c>
      <c r="B204" s="2">
        <f t="shared" si="7"/>
        <v>10700.389105058364</v>
      </c>
      <c r="C204" s="1">
        <f>1/('NTC PAW-A2W-TSOD'!$J$12+'NTC PAW-A2W-TSOD'!$J$13*LN(B204)+'NTC PAW-A2W-TSOD'!$J$14*(LN(B204))^3)-273.15</f>
        <v>13.332373827138838</v>
      </c>
      <c r="E204" s="2"/>
      <c r="F204" s="1"/>
    </row>
    <row r="205" spans="1:6" x14ac:dyDescent="0.25">
      <c r="A205">
        <f t="shared" si="6"/>
        <v>53</v>
      </c>
      <c r="B205" s="2">
        <f t="shared" si="7"/>
        <v>10505.836575875484</v>
      </c>
      <c r="C205" s="1">
        <f>1/('NTC PAW-A2W-TSOD'!$J$12+'NTC PAW-A2W-TSOD'!$J$13*LN(B205)+'NTC PAW-A2W-TSOD'!$J$14*(LN(B205))^3)-273.15</f>
        <v>13.751439592080828</v>
      </c>
      <c r="E205" s="2"/>
      <c r="F205" s="1"/>
    </row>
    <row r="206" spans="1:6" x14ac:dyDescent="0.25">
      <c r="A206">
        <f t="shared" si="6"/>
        <v>52</v>
      </c>
      <c r="B206" s="2">
        <f t="shared" si="7"/>
        <v>10311.284046692605</v>
      </c>
      <c r="C206" s="1">
        <f>1/('NTC PAW-A2W-TSOD'!$J$12+'NTC PAW-A2W-TSOD'!$J$13*LN(B206)+'NTC PAW-A2W-TSOD'!$J$14*(LN(B206))^3)-273.15</f>
        <v>14.179372406089499</v>
      </c>
      <c r="E206" s="2"/>
      <c r="F206" s="1"/>
    </row>
    <row r="207" spans="1:6" x14ac:dyDescent="0.25">
      <c r="A207">
        <f t="shared" si="6"/>
        <v>51</v>
      </c>
      <c r="B207" s="2">
        <f t="shared" si="7"/>
        <v>10116.731517509725</v>
      </c>
      <c r="C207" s="1">
        <f>1/('NTC PAW-A2W-TSOD'!$J$12+'NTC PAW-A2W-TSOD'!$J$13*LN(B207)+'NTC PAW-A2W-TSOD'!$J$14*(LN(B207))^3)-273.15</f>
        <v>14.616534196379234</v>
      </c>
      <c r="E207" s="2"/>
      <c r="F207" s="1"/>
    </row>
    <row r="208" spans="1:6" x14ac:dyDescent="0.25">
      <c r="A208">
        <f t="shared" si="6"/>
        <v>50</v>
      </c>
      <c r="B208" s="2">
        <f t="shared" si="7"/>
        <v>9922.1789883268448</v>
      </c>
      <c r="C208" s="1">
        <f>1/('NTC PAW-A2W-TSOD'!$J$12+'NTC PAW-A2W-TSOD'!$J$13*LN(B208)+'NTC PAW-A2W-TSOD'!$J$14*(LN(B208))^3)-273.15</f>
        <v>15.06330902948298</v>
      </c>
      <c r="E208" s="2"/>
      <c r="F208" s="1"/>
    </row>
    <row r="209" spans="1:6" x14ac:dyDescent="0.25">
      <c r="A209">
        <f t="shared" si="6"/>
        <v>49</v>
      </c>
      <c r="B209" s="2">
        <f t="shared" si="7"/>
        <v>9727.6264591439649</v>
      </c>
      <c r="C209" s="1">
        <f>1/('NTC PAW-A2W-TSOD'!$J$12+'NTC PAW-A2W-TSOD'!$J$13*LN(B209)+'NTC PAW-A2W-TSOD'!$J$14*(LN(B209))^3)-273.15</f>
        <v>15.520104933418509</v>
      </c>
      <c r="E209" s="2"/>
      <c r="F209" s="1"/>
    </row>
    <row r="210" spans="1:6" x14ac:dyDescent="0.25">
      <c r="A210">
        <f t="shared" si="6"/>
        <v>48</v>
      </c>
      <c r="B210" s="2">
        <f t="shared" si="7"/>
        <v>9533.073929961085</v>
      </c>
      <c r="C210" s="1">
        <f>1/('NTC PAW-A2W-TSOD'!$J$12+'NTC PAW-A2W-TSOD'!$J$13*LN(B210)+'NTC PAW-A2W-TSOD'!$J$14*(LN(B210))^3)-273.15</f>
        <v>15.98735590987053</v>
      </c>
      <c r="E210" s="2"/>
      <c r="F210" s="1"/>
    </row>
    <row r="211" spans="1:6" x14ac:dyDescent="0.25">
      <c r="A211">
        <f t="shared" si="6"/>
        <v>47</v>
      </c>
      <c r="B211" s="2">
        <f t="shared" si="7"/>
        <v>9338.5214007782051</v>
      </c>
      <c r="C211" s="1">
        <f>1/('NTC PAW-A2W-TSOD'!$J$12+'NTC PAW-A2W-TSOD'!$J$13*LN(B211)+'NTC PAW-A2W-TSOD'!$J$14*(LN(B211))^3)-273.15</f>
        <v>16.465524160548398</v>
      </c>
      <c r="E211" s="2"/>
      <c r="F211" s="1"/>
    </row>
    <row r="212" spans="1:6" x14ac:dyDescent="0.25">
      <c r="A212">
        <f t="shared" si="6"/>
        <v>46</v>
      </c>
      <c r="B212" s="2">
        <f t="shared" si="7"/>
        <v>9143.9688715953253</v>
      </c>
      <c r="C212" s="1">
        <f>1/('NTC PAW-A2W-TSOD'!$J$12+'NTC PAW-A2W-TSOD'!$J$13*LN(B212)+'NTC PAW-A2W-TSOD'!$J$14*(LN(B212))^3)-273.15</f>
        <v>16.95510255552955</v>
      </c>
      <c r="E212" s="2"/>
      <c r="F212" s="1"/>
    </row>
    <row r="213" spans="1:6" x14ac:dyDescent="0.25">
      <c r="A213">
        <f t="shared" si="6"/>
        <v>45</v>
      </c>
      <c r="B213" s="2">
        <f t="shared" si="7"/>
        <v>8949.4163424124454</v>
      </c>
      <c r="C213" s="1">
        <f>1/('NTC PAW-A2W-TSOD'!$J$12+'NTC PAW-A2W-TSOD'!$J$13*LN(B213)+'NTC PAW-A2W-TSOD'!$J$14*(LN(B213))^3)-273.15</f>
        <v>17.456617375686619</v>
      </c>
      <c r="E213" s="2"/>
      <c r="F213" s="1"/>
    </row>
    <row r="214" spans="1:6" x14ac:dyDescent="0.25">
      <c r="A214">
        <f t="shared" si="6"/>
        <v>44</v>
      </c>
      <c r="B214" s="2">
        <f t="shared" si="7"/>
        <v>8754.8638132295655</v>
      </c>
      <c r="C214" s="1">
        <f>1/('NTC PAW-A2W-TSOD'!$J$12+'NTC PAW-A2W-TSOD'!$J$13*LN(B214)+'NTC PAW-A2W-TSOD'!$J$14*(LN(B214))^3)-273.15</f>
        <v>17.970631366359044</v>
      </c>
      <c r="E214" s="2"/>
      <c r="F214" s="1"/>
    </row>
    <row r="215" spans="1:6" x14ac:dyDescent="0.25">
      <c r="A215">
        <f t="shared" si="6"/>
        <v>43</v>
      </c>
      <c r="B215" s="2">
        <f t="shared" si="7"/>
        <v>8560.3112840466856</v>
      </c>
      <c r="C215" s="1">
        <f>1/('NTC PAW-A2W-TSOD'!$J$12+'NTC PAW-A2W-TSOD'!$J$13*LN(B215)+'NTC PAW-A2W-TSOD'!$J$14*(LN(B215))^3)-273.15</f>
        <v>18.497747145417122</v>
      </c>
      <c r="E215" s="2"/>
      <c r="F215" s="1"/>
    </row>
    <row r="216" spans="1:6" x14ac:dyDescent="0.25">
      <c r="A216">
        <f t="shared" si="6"/>
        <v>42</v>
      </c>
      <c r="B216" s="2">
        <f t="shared" si="7"/>
        <v>8365.7587548638057</v>
      </c>
      <c r="C216" s="1">
        <f>1/('NTC PAW-A2W-TSOD'!$J$12+'NTC PAW-A2W-TSOD'!$J$13*LN(B216)+'NTC PAW-A2W-TSOD'!$J$14*(LN(B216))^3)-273.15</f>
        <v>19.038611015987442</v>
      </c>
      <c r="E216" s="2"/>
      <c r="F216" s="1"/>
    </row>
    <row r="217" spans="1:6" x14ac:dyDescent="0.25">
      <c r="A217">
        <f t="shared" si="6"/>
        <v>41</v>
      </c>
      <c r="B217" s="2">
        <f t="shared" si="7"/>
        <v>8171.2062256809259</v>
      </c>
      <c r="C217" s="1">
        <f>1/('NTC PAW-A2W-TSOD'!$J$12+'NTC PAW-A2W-TSOD'!$J$13*LN(B217)+'NTC PAW-A2W-TSOD'!$J$14*(LN(B217))^3)-273.15</f>
        <v>19.593917242591488</v>
      </c>
      <c r="E217" s="2"/>
      <c r="F217" s="1"/>
    </row>
    <row r="218" spans="1:6" x14ac:dyDescent="0.25">
      <c r="A218">
        <f t="shared" si="6"/>
        <v>40</v>
      </c>
      <c r="B218" s="2">
        <f t="shared" si="7"/>
        <v>7976.6536964980469</v>
      </c>
      <c r="C218" s="1">
        <f>1/('NTC PAW-A2W-TSOD'!$J$12+'NTC PAW-A2W-TSOD'!$J$13*LN(B218)+'NTC PAW-A2W-TSOD'!$J$14*(LN(B218))^3)-273.15</f>
        <v>20.164412859611957</v>
      </c>
      <c r="E218" s="2"/>
      <c r="F218" s="1"/>
    </row>
    <row r="219" spans="1:6" x14ac:dyDescent="0.25">
      <c r="A219">
        <f t="shared" si="6"/>
        <v>39</v>
      </c>
      <c r="B219" s="2">
        <f t="shared" si="7"/>
        <v>7782.1011673151679</v>
      </c>
      <c r="C219" s="1">
        <f>1/('NTC PAW-A2W-TSOD'!$J$12+'NTC PAW-A2W-TSOD'!$J$13*LN(B219)+'NTC PAW-A2W-TSOD'!$J$14*(LN(B219))^3)-273.15</f>
        <v>20.750903093211718</v>
      </c>
      <c r="E219" s="2"/>
      <c r="F219" s="1"/>
    </row>
    <row r="220" spans="1:6" x14ac:dyDescent="0.25">
      <c r="A220">
        <f t="shared" si="6"/>
        <v>38</v>
      </c>
      <c r="B220" s="2">
        <f t="shared" si="7"/>
        <v>7587.5486381322889</v>
      </c>
      <c r="C220" s="1">
        <f>1/('NTC PAW-A2W-TSOD'!$J$12+'NTC PAW-A2W-TSOD'!$J$13*LN(B220)+'NTC PAW-A2W-TSOD'!$J$14*(LN(B220))^3)-273.15</f>
        <v>21.354257492573083</v>
      </c>
      <c r="E220" s="2"/>
      <c r="F220" s="1"/>
    </row>
    <row r="221" spans="1:6" x14ac:dyDescent="0.25">
      <c r="A221">
        <f t="shared" si="6"/>
        <v>37</v>
      </c>
      <c r="B221" s="2">
        <f t="shared" si="7"/>
        <v>7392.99610894941</v>
      </c>
      <c r="C221" s="1">
        <f>1/('NTC PAW-A2W-TSOD'!$J$12+'NTC PAW-A2W-TSOD'!$J$13*LN(B221)+'NTC PAW-A2W-TSOD'!$J$14*(LN(B221))^3)-273.15</f>
        <v>21.975416884201195</v>
      </c>
      <c r="E221" s="2"/>
      <c r="F221" s="1"/>
    </row>
    <row r="222" spans="1:6" x14ac:dyDescent="0.25">
      <c r="A222">
        <f t="shared" si="6"/>
        <v>36</v>
      </c>
      <c r="B222" s="2">
        <f t="shared" si="7"/>
        <v>7198.443579766531</v>
      </c>
      <c r="C222" s="1">
        <f>1/('NTC PAW-A2W-TSOD'!$J$12+'NTC PAW-A2W-TSOD'!$J$13*LN(B222)+'NTC PAW-A2W-TSOD'!$J$14*(LN(B222))^3)-273.15</f>
        <v>22.615401284811242</v>
      </c>
      <c r="E222" s="2"/>
      <c r="F222" s="1"/>
    </row>
    <row r="223" spans="1:6" x14ac:dyDescent="0.25">
      <c r="A223">
        <f t="shared" si="6"/>
        <v>35</v>
      </c>
      <c r="B223" s="2">
        <f t="shared" si="7"/>
        <v>7003.891050583652</v>
      </c>
      <c r="C223" s="1">
        <f>1/('NTC PAW-A2W-TSOD'!$J$12+'NTC PAW-A2W-TSOD'!$J$13*LN(B223)+'NTC PAW-A2W-TSOD'!$J$14*(LN(B223))^3)-273.15</f>
        <v>23.275318934981783</v>
      </c>
      <c r="E223" s="2"/>
      <c r="F223" s="1"/>
    </row>
    <row r="224" spans="1:6" x14ac:dyDescent="0.25">
      <c r="A224">
        <f t="shared" si="6"/>
        <v>34</v>
      </c>
      <c r="B224" s="2">
        <f t="shared" si="7"/>
        <v>6809.3385214007731</v>
      </c>
      <c r="C224" s="1">
        <f>1/('NTC PAW-A2W-TSOD'!$J$12+'NTC PAW-A2W-TSOD'!$J$13*LN(B224)+'NTC PAW-A2W-TSOD'!$J$14*(LN(B224))^3)-273.15</f>
        <v>23.956376648566049</v>
      </c>
      <c r="E224" s="2"/>
      <c r="F224" s="1"/>
    </row>
    <row r="225" spans="1:6" x14ac:dyDescent="0.25">
      <c r="A225">
        <f t="shared" si="6"/>
        <v>33</v>
      </c>
      <c r="B225" s="2">
        <f t="shared" si="7"/>
        <v>6614.7859922178941</v>
      </c>
      <c r="C225" s="1">
        <f>1/('NTC PAW-A2W-TSOD'!$J$12+'NTC PAW-A2W-TSOD'!$J$13*LN(B225)+'NTC PAW-A2W-TSOD'!$J$14*(LN(B225))^3)-273.15</f>
        <v>24.659891713449213</v>
      </c>
      <c r="E225" s="2"/>
      <c r="F225" s="1"/>
    </row>
    <row r="226" spans="1:6" x14ac:dyDescent="0.25">
      <c r="A226">
        <f t="shared" si="6"/>
        <v>32</v>
      </c>
      <c r="B226" s="2">
        <f t="shared" si="7"/>
        <v>6420.2334630350151</v>
      </c>
      <c r="C226" s="1">
        <f>1/('NTC PAW-A2W-TSOD'!$J$12+'NTC PAW-A2W-TSOD'!$J$13*LN(B226)+'NTC PAW-A2W-TSOD'!$J$14*(LN(B226))^3)-273.15</f>
        <v>25.387305629762523</v>
      </c>
      <c r="E226" s="2"/>
      <c r="F226" s="1"/>
    </row>
    <row r="227" spans="1:6" x14ac:dyDescent="0.25">
      <c r="A227">
        <f t="shared" si="6"/>
        <v>31</v>
      </c>
      <c r="B227" s="2">
        <f t="shared" si="7"/>
        <v>6225.6809338521361</v>
      </c>
      <c r="C227" s="1">
        <f>1/('NTC PAW-A2W-TSOD'!$J$12+'NTC PAW-A2W-TSOD'!$J$13*LN(B227)+'NTC PAW-A2W-TSOD'!$J$14*(LN(B227))^3)-273.15</f>
        <v>26.140200034917882</v>
      </c>
      <c r="E227" s="2"/>
      <c r="F227" s="1"/>
    </row>
    <row r="228" spans="1:6" x14ac:dyDescent="0.25">
      <c r="A228">
        <f t="shared" si="6"/>
        <v>30</v>
      </c>
      <c r="B228" s="2">
        <f t="shared" si="7"/>
        <v>6031.1284046692572</v>
      </c>
      <c r="C228" s="1">
        <f>1/('NTC PAW-A2W-TSOD'!$J$12+'NTC PAW-A2W-TSOD'!$J$13*LN(B228)+'NTC PAW-A2W-TSOD'!$J$14*(LN(B228))^3)-273.15</f>
        <v>26.920315244533526</v>
      </c>
      <c r="E228" s="2"/>
      <c r="F228" s="1"/>
    </row>
    <row r="229" spans="1:6" x14ac:dyDescent="0.25">
      <c r="A229">
        <f t="shared" si="6"/>
        <v>29</v>
      </c>
      <c r="B229" s="2">
        <f t="shared" si="7"/>
        <v>5836.5758754863782</v>
      </c>
      <c r="C229" s="1">
        <f>1/('NTC PAW-A2W-TSOD'!$J$12+'NTC PAW-A2W-TSOD'!$J$13*LN(B229)+'NTC PAW-A2W-TSOD'!$J$14*(LN(B229))^3)-273.15</f>
        <v>27.729571939436937</v>
      </c>
      <c r="E229" s="2"/>
      <c r="F229" s="1"/>
    </row>
    <row r="230" spans="1:6" x14ac:dyDescent="0.25">
      <c r="A230">
        <f t="shared" si="6"/>
        <v>28</v>
      </c>
      <c r="B230" s="2">
        <f t="shared" si="7"/>
        <v>5642.0233463034992</v>
      </c>
      <c r="C230" s="1">
        <f>1/('NTC PAW-A2W-TSOD'!$J$12+'NTC PAW-A2W-TSOD'!$J$13*LN(B230)+'NTC PAW-A2W-TSOD'!$J$14*(LN(B230))^3)-273.15</f>
        <v>28.570096658142631</v>
      </c>
      <c r="E230" s="2"/>
      <c r="F230" s="1"/>
    </row>
    <row r="231" spans="1:6" x14ac:dyDescent="0.25">
      <c r="A231">
        <f t="shared" si="6"/>
        <v>27</v>
      </c>
      <c r="B231" s="2">
        <f t="shared" si="7"/>
        <v>5447.4708171206203</v>
      </c>
      <c r="C231" s="1">
        <f>1/('NTC PAW-A2W-TSOD'!$J$12+'NTC PAW-A2W-TSOD'!$J$13*LN(B231)+'NTC PAW-A2W-TSOD'!$J$14*(LN(B231))^3)-273.15</f>
        <v>29.444251920577017</v>
      </c>
      <c r="E231" s="2"/>
      <c r="F231" s="1"/>
    </row>
    <row r="232" spans="1:6" x14ac:dyDescent="0.25">
      <c r="A232">
        <f t="shared" si="6"/>
        <v>26</v>
      </c>
      <c r="B232" s="2">
        <f t="shared" si="7"/>
        <v>5252.9182879377413</v>
      </c>
      <c r="C232" s="1">
        <f>1/('NTC PAW-A2W-TSOD'!$J$12+'NTC PAW-A2W-TSOD'!$J$13*LN(B232)+'NTC PAW-A2W-TSOD'!$J$14*(LN(B232))^3)-273.15</f>
        <v>30.354672024796741</v>
      </c>
      <c r="E232" s="2"/>
      <c r="F232" s="1"/>
    </row>
    <row r="233" spans="1:6" x14ac:dyDescent="0.25">
      <c r="A233">
        <f t="shared" si="6"/>
        <v>25</v>
      </c>
      <c r="B233" s="2">
        <f t="shared" si="7"/>
        <v>5058.3657587548623</v>
      </c>
      <c r="C233" s="1">
        <f>1/('NTC PAW-A2W-TSOD'!$J$12+'NTC PAW-A2W-TSOD'!$J$13*LN(B233)+'NTC PAW-A2W-TSOD'!$J$14*(LN(B233))^3)-273.15</f>
        <v>31.304305841268899</v>
      </c>
      <c r="E233" s="2"/>
      <c r="F233" s="1"/>
    </row>
    <row r="234" spans="1:6" x14ac:dyDescent="0.25">
      <c r="A234">
        <f t="shared" si="6"/>
        <v>24</v>
      </c>
      <c r="B234" s="2">
        <f t="shared" si="7"/>
        <v>4863.8132295719834</v>
      </c>
      <c r="C234" s="1">
        <f>1/('NTC PAW-A2W-TSOD'!$J$12+'NTC PAW-A2W-TSOD'!$J$13*LN(B234)+'NTC PAW-A2W-TSOD'!$J$14*(LN(B234))^3)-273.15</f>
        <v>32.296468303078143</v>
      </c>
      <c r="E234" s="2"/>
      <c r="F234" s="1"/>
    </row>
    <row r="235" spans="1:6" x14ac:dyDescent="0.25">
      <c r="A235">
        <f t="shared" si="6"/>
        <v>23</v>
      </c>
      <c r="B235" s="2">
        <f t="shared" si="7"/>
        <v>4669.2607003891044</v>
      </c>
      <c r="C235" s="1">
        <f>1/('NTC PAW-A2W-TSOD'!$J$12+'NTC PAW-A2W-TSOD'!$J$13*LN(B235)+'NTC PAW-A2W-TSOD'!$J$14*(LN(B235))^3)-273.15</f>
        <v>33.33490278942088</v>
      </c>
      <c r="E235" s="2"/>
      <c r="F235" s="1"/>
    </row>
    <row r="236" spans="1:6" x14ac:dyDescent="0.25">
      <c r="A236">
        <f t="shared" si="6"/>
        <v>22</v>
      </c>
      <c r="B236" s="2">
        <f t="shared" si="7"/>
        <v>4474.7081712062254</v>
      </c>
      <c r="C236" s="1">
        <f>1/('NTC PAW-A2W-TSOD'!$J$12+'NTC PAW-A2W-TSOD'!$J$13*LN(B236)+'NTC PAW-A2W-TSOD'!$J$14*(LN(B236))^3)-273.15</f>
        <v>34.423857273030933</v>
      </c>
      <c r="E236" s="2"/>
      <c r="F236" s="1"/>
    </row>
    <row r="237" spans="1:6" x14ac:dyDescent="0.25">
      <c r="A237">
        <f t="shared" si="6"/>
        <v>21</v>
      </c>
      <c r="B237" s="2">
        <f t="shared" si="7"/>
        <v>4280.1556420233464</v>
      </c>
      <c r="C237" s="1">
        <f>1/('NTC PAW-A2W-TSOD'!$J$12+'NTC PAW-A2W-TSOD'!$J$13*LN(B237)+'NTC PAW-A2W-TSOD'!$J$14*(LN(B237))^3)-273.15</f>
        <v>35.56817802116592</v>
      </c>
      <c r="E237" s="2"/>
      <c r="F237" s="1"/>
    </row>
    <row r="238" spans="1:6" x14ac:dyDescent="0.25">
      <c r="A238">
        <f t="shared" si="6"/>
        <v>20</v>
      </c>
      <c r="B238" s="2">
        <f t="shared" si="7"/>
        <v>4085.6031128404675</v>
      </c>
      <c r="C238" s="1">
        <f>1/('NTC PAW-A2W-TSOD'!$J$12+'NTC PAW-A2W-TSOD'!$J$13*LN(B238)+'NTC PAW-A2W-TSOD'!$J$14*(LN(B238))^3)-273.15</f>
        <v>36.773425909864216</v>
      </c>
      <c r="E238" s="2"/>
      <c r="F238" s="1"/>
    </row>
    <row r="239" spans="1:6" x14ac:dyDescent="0.25">
      <c r="A239">
        <f t="shared" si="6"/>
        <v>19</v>
      </c>
      <c r="B239" s="2">
        <f t="shared" si="7"/>
        <v>3891.050583657588</v>
      </c>
      <c r="C239" s="1">
        <f>1/('NTC PAW-A2W-TSOD'!$J$12+'NTC PAW-A2W-TSOD'!$J$13*LN(B239)+'NTC PAW-A2W-TSOD'!$J$14*(LN(B239))^3)-273.15</f>
        <v>38.046022190366728</v>
      </c>
      <c r="E239" s="2"/>
      <c r="F239" s="1"/>
    </row>
    <row r="240" spans="1:6" x14ac:dyDescent="0.25">
      <c r="A240">
        <f t="shared" si="6"/>
        <v>18</v>
      </c>
      <c r="B240" s="2">
        <f t="shared" si="7"/>
        <v>3696.4980544747086</v>
      </c>
      <c r="C240" s="1">
        <f>1/('NTC PAW-A2W-TSOD'!$J$12+'NTC PAW-A2W-TSOD'!$J$13*LN(B240)+'NTC PAW-A2W-TSOD'!$J$14*(LN(B240))^3)-273.15</f>
        <v>39.393433075859946</v>
      </c>
      <c r="E240" s="2"/>
      <c r="F240" s="1"/>
    </row>
    <row r="241" spans="1:6" x14ac:dyDescent="0.25">
      <c r="A241">
        <f t="shared" si="6"/>
        <v>17</v>
      </c>
      <c r="B241" s="2">
        <f t="shared" si="7"/>
        <v>3501.9455252918292</v>
      </c>
      <c r="C241" s="1">
        <f>1/('NTC PAW-A2W-TSOD'!$J$12+'NTC PAW-A2W-TSOD'!$J$13*LN(B241)+'NTC PAW-A2W-TSOD'!$J$14*(LN(B241))^3)-273.15</f>
        <v>40.824406170478142</v>
      </c>
      <c r="E241" s="2"/>
      <c r="F241" s="1"/>
    </row>
    <row r="242" spans="1:6" x14ac:dyDescent="0.25">
      <c r="A242">
        <f t="shared" si="6"/>
        <v>16</v>
      </c>
      <c r="B242" s="2">
        <f t="shared" si="7"/>
        <v>3307.3929961089498</v>
      </c>
      <c r="C242" s="1">
        <f>1/('NTC PAW-A2W-TSOD'!$J$12+'NTC PAW-A2W-TSOD'!$J$13*LN(B242)+'NTC PAW-A2W-TSOD'!$J$14*(LN(B242))^3)-273.15</f>
        <v>42.349277134526062</v>
      </c>
      <c r="E242" s="2"/>
      <c r="F242" s="1"/>
    </row>
    <row r="243" spans="1:6" x14ac:dyDescent="0.25">
      <c r="A243">
        <f t="shared" si="6"/>
        <v>15</v>
      </c>
      <c r="B243" s="2">
        <f t="shared" si="7"/>
        <v>3112.8404669260703</v>
      </c>
      <c r="C243" s="1">
        <f>1/('NTC PAW-A2W-TSOD'!$J$12+'NTC PAW-A2W-TSOD'!$J$13*LN(B243)+'NTC PAW-A2W-TSOD'!$J$14*(LN(B243))^3)-273.15</f>
        <v>43.980373032998841</v>
      </c>
      <c r="E243" s="2"/>
      <c r="F243" s="1"/>
    </row>
    <row r="244" spans="1:6" x14ac:dyDescent="0.25">
      <c r="A244">
        <f t="shared" si="6"/>
        <v>14</v>
      </c>
      <c r="B244" s="2">
        <f t="shared" si="7"/>
        <v>2918.2879377431909</v>
      </c>
      <c r="C244" s="1">
        <f>1/('NTC PAW-A2W-TSOD'!$J$12+'NTC PAW-A2W-TSOD'!$J$13*LN(B244)+'NTC PAW-A2W-TSOD'!$J$14*(LN(B244))^3)-273.15</f>
        <v>45.732551149122344</v>
      </c>
      <c r="E244" s="2"/>
      <c r="F244" s="1"/>
    </row>
    <row r="245" spans="1:6" x14ac:dyDescent="0.25">
      <c r="A245">
        <f t="shared" si="6"/>
        <v>13</v>
      </c>
      <c r="B245" s="2">
        <f t="shared" si="7"/>
        <v>2723.7354085603115</v>
      </c>
      <c r="C245" s="1">
        <f>1/('NTC PAW-A2W-TSOD'!$J$12+'NTC PAW-A2W-TSOD'!$J$13*LN(B245)+'NTC PAW-A2W-TSOD'!$J$14*(LN(B245))^3)-273.15</f>
        <v>47.623931395188322</v>
      </c>
      <c r="E245" s="2"/>
      <c r="F245" s="1"/>
    </row>
    <row r="246" spans="1:6" x14ac:dyDescent="0.25">
      <c r="A246">
        <f t="shared" si="6"/>
        <v>12</v>
      </c>
      <c r="B246" s="2">
        <f t="shared" si="7"/>
        <v>2529.1828793774321</v>
      </c>
      <c r="C246" s="1">
        <f>1/('NTC PAW-A2W-TSOD'!$J$12+'NTC PAW-A2W-TSOD'!$J$13*LN(B246)+'NTC PAW-A2W-TSOD'!$J$14*(LN(B246))^3)-273.15</f>
        <v>49.676911636601403</v>
      </c>
      <c r="E246" s="2"/>
      <c r="F246" s="1"/>
    </row>
    <row r="247" spans="1:6" x14ac:dyDescent="0.25">
      <c r="A247">
        <f t="shared" si="6"/>
        <v>11</v>
      </c>
      <c r="B247" s="2">
        <f t="shared" si="7"/>
        <v>2334.6303501945526</v>
      </c>
      <c r="C247" s="1">
        <f>1/('NTC PAW-A2W-TSOD'!$J$12+'NTC PAW-A2W-TSOD'!$J$13*LN(B247)+'NTC PAW-A2W-TSOD'!$J$14*(LN(B247))^3)-273.15</f>
        <v>51.919607046517228</v>
      </c>
      <c r="E247" s="2"/>
      <c r="F247" s="1"/>
    </row>
    <row r="248" spans="1:6" x14ac:dyDescent="0.25">
      <c r="A248">
        <f t="shared" si="6"/>
        <v>10</v>
      </c>
      <c r="B248" s="2">
        <f t="shared" si="7"/>
        <v>2140.0778210116732</v>
      </c>
      <c r="C248" s="1">
        <f>1/('NTC PAW-A2W-TSOD'!$J$12+'NTC PAW-A2W-TSOD'!$J$13*LN(B248)+'NTC PAW-A2W-TSOD'!$J$14*(LN(B248))^3)-273.15</f>
        <v>54.387943687666336</v>
      </c>
      <c r="E248" s="2"/>
      <c r="F248" s="1"/>
    </row>
    <row r="249" spans="1:6" x14ac:dyDescent="0.25">
      <c r="A249">
        <f t="shared" si="6"/>
        <v>9</v>
      </c>
      <c r="B249" s="2">
        <f t="shared" si="7"/>
        <v>1945.525291828794</v>
      </c>
      <c r="C249" s="1">
        <f>1/('NTC PAW-A2W-TSOD'!$J$12+'NTC PAW-A2W-TSOD'!$J$13*LN(B249)+'NTC PAW-A2W-TSOD'!$J$14*(LN(B249))^3)-273.15</f>
        <v>57.128795919888432</v>
      </c>
      <c r="E249" s="2"/>
      <c r="F249" s="1"/>
    </row>
    <row r="250" spans="1:6" x14ac:dyDescent="0.25">
      <c r="A250">
        <f t="shared" si="6"/>
        <v>8</v>
      </c>
      <c r="B250" s="2">
        <f t="shared" si="7"/>
        <v>1750.9727626459146</v>
      </c>
      <c r="C250" s="1">
        <f>1/('NTC PAW-A2W-TSOD'!$J$12+'NTC PAW-A2W-TSOD'!$J$13*LN(B250)+'NTC PAW-A2W-TSOD'!$J$14*(LN(B250))^3)-273.15</f>
        <v>60.204855996828599</v>
      </c>
      <c r="E250" s="2"/>
      <c r="F250" s="1"/>
    </row>
    <row r="251" spans="1:6" x14ac:dyDescent="0.25">
      <c r="A251">
        <f t="shared" si="6"/>
        <v>7</v>
      </c>
      <c r="B251" s="2">
        <f t="shared" si="7"/>
        <v>1556.4202334630352</v>
      </c>
      <c r="C251" s="1">
        <f>1/('NTC PAW-A2W-TSOD'!$J$12+'NTC PAW-A2W-TSOD'!$J$13*LN(B251)+'NTC PAW-A2W-TSOD'!$J$14*(LN(B251))^3)-273.15</f>
        <v>63.702515657511753</v>
      </c>
      <c r="E251" s="2"/>
      <c r="F251" s="1"/>
    </row>
    <row r="252" spans="1:6" x14ac:dyDescent="0.25">
      <c r="A252">
        <f t="shared" si="6"/>
        <v>6</v>
      </c>
      <c r="B252" s="2">
        <f t="shared" si="7"/>
        <v>1361.8677042801557</v>
      </c>
      <c r="C252" s="1">
        <f>1/('NTC PAW-A2W-TSOD'!$J$12+'NTC PAW-A2W-TSOD'!$J$13*LN(B252)+'NTC PAW-A2W-TSOD'!$J$14*(LN(B252))^3)-273.15</f>
        <v>67.74528978121117</v>
      </c>
      <c r="E252" s="2"/>
      <c r="F252" s="1"/>
    </row>
    <row r="253" spans="1:6" x14ac:dyDescent="0.25">
      <c r="A253">
        <f t="shared" si="6"/>
        <v>5</v>
      </c>
      <c r="B253" s="2">
        <f t="shared" si="7"/>
        <v>1167.3151750972763</v>
      </c>
      <c r="C253" s="1">
        <f>1/('NTC PAW-A2W-TSOD'!$J$12+'NTC PAW-A2W-TSOD'!$J$13*LN(B253)+'NTC PAW-A2W-TSOD'!$J$14*(LN(B253))^3)-273.15</f>
        <v>72.518176625860178</v>
      </c>
      <c r="E253" s="2"/>
      <c r="F253" s="1"/>
    </row>
    <row r="254" spans="1:6" x14ac:dyDescent="0.25">
      <c r="A254">
        <f t="shared" si="6"/>
        <v>4</v>
      </c>
      <c r="B254" s="2">
        <f t="shared" si="7"/>
        <v>972.7626459143969</v>
      </c>
      <c r="C254" s="1">
        <f>1/('NTC PAW-A2W-TSOD'!$J$12+'NTC PAW-A2W-TSOD'!$J$13*LN(B254)+'NTC PAW-A2W-TSOD'!$J$14*(LN(B254))^3)-273.15</f>
        <v>78.315612372650889</v>
      </c>
      <c r="E254" s="2"/>
      <c r="F254" s="1"/>
    </row>
    <row r="255" spans="1:6" x14ac:dyDescent="0.25">
      <c r="A255">
        <f t="shared" si="6"/>
        <v>3</v>
      </c>
      <c r="B255" s="2">
        <f t="shared" si="7"/>
        <v>778.21011673151747</v>
      </c>
      <c r="C255" s="1">
        <f>1/('NTC PAW-A2W-TSOD'!$J$12+'NTC PAW-A2W-TSOD'!$J$13*LN(B255)+'NTC PAW-A2W-TSOD'!$J$14*(LN(B255))^3)-273.15</f>
        <v>85.646707513394801</v>
      </c>
      <c r="E255" s="2"/>
      <c r="F255" s="1"/>
    </row>
    <row r="256" spans="1:6" x14ac:dyDescent="0.25">
      <c r="A256">
        <f t="shared" si="6"/>
        <v>2</v>
      </c>
      <c r="B256" s="2">
        <f t="shared" si="7"/>
        <v>583.65758754863805</v>
      </c>
      <c r="C256" s="1">
        <f>1/('NTC PAW-A2W-TSOD'!$J$12+'NTC PAW-A2W-TSOD'!$J$13*LN(B256)+'NTC PAW-A2W-TSOD'!$J$14*(LN(B256))^3)-273.15</f>
        <v>95.504590994715329</v>
      </c>
      <c r="E256" s="2"/>
      <c r="F256" s="1"/>
    </row>
    <row r="257" spans="1:6" x14ac:dyDescent="0.25">
      <c r="A257">
        <f t="shared" si="6"/>
        <v>1</v>
      </c>
      <c r="B257" s="1">
        <f t="shared" si="7"/>
        <v>389.10505836575874</v>
      </c>
      <c r="C257" s="1">
        <f>1/('NTC PAW-A2W-TSOD'!$J$12+'NTC PAW-A2W-TSOD'!$J$13*LN(B257)+'NTC PAW-A2W-TSOD'!$J$14*(LN(B257))^3)-273.15</f>
        <v>110.24218241169154</v>
      </c>
      <c r="E257" s="2"/>
      <c r="F257" s="1"/>
    </row>
    <row r="258" spans="1:6" x14ac:dyDescent="0.25">
      <c r="A258">
        <v>0</v>
      </c>
      <c r="B258" s="1">
        <f>$H$2</f>
        <v>194.55252918287937</v>
      </c>
      <c r="C258" s="1">
        <f>1/('NTC PAW-A2W-TSOD'!$J$12+'NTC PAW-A2W-TSOD'!$J$13*LN(B258)+'NTC PAW-A2W-TSOD'!$J$14*(LN(B258))^3)-273.15</f>
        <v>138.03841052582192</v>
      </c>
      <c r="E258" s="2"/>
      <c r="F258" s="1"/>
    </row>
    <row r="259" spans="1:6" x14ac:dyDescent="0.25">
      <c r="E259" s="2"/>
      <c r="F259" s="1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B82E-E009-4422-89D1-2E97F252A6B4}">
  <dimension ref="A1:F192"/>
  <sheetViews>
    <sheetView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41</v>
      </c>
      <c r="B1" t="s">
        <v>42</v>
      </c>
      <c r="C1" t="s">
        <v>43</v>
      </c>
      <c r="D1" t="s">
        <v>44</v>
      </c>
      <c r="F1" t="s">
        <v>40</v>
      </c>
    </row>
    <row r="2" spans="1:6" x14ac:dyDescent="0.25">
      <c r="A2" s="2">
        <f>'NTC PAW-A2W-TSOD'!F2*$F$2/('NTC PAW-A2W-TSOD'!F2+$F$2)</f>
        <v>51834.692364714603</v>
      </c>
      <c r="B2" s="2">
        <f>'NTC PAW-A2W-TSOD'!G2</f>
        <v>-40</v>
      </c>
      <c r="C2" s="40">
        <f>1/('NTC PAW-A2W-TSOD'!$J$12+'NTC PAW-A2W-TSOD'!$J$13*LN(A2)+'NTC PAW-A2W-TSOD'!$J$14*(LN(A2))^3)-273.15</f>
        <v>-19.323468625991353</v>
      </c>
      <c r="D2" s="40">
        <f t="shared" ref="D2:D33" si="0">C2-B2</f>
        <v>20.676531374008647</v>
      </c>
      <c r="F2" s="62">
        <v>75000</v>
      </c>
    </row>
    <row r="3" spans="1:6" x14ac:dyDescent="0.25">
      <c r="A3" s="2">
        <f>'NTC PAW-A2W-TSOD'!F3*$F$2/('NTC PAW-A2W-TSOD'!F3+$F$2)</f>
        <v>50855.763643656472</v>
      </c>
      <c r="B3" s="2">
        <f>'NTC PAW-A2W-TSOD'!G3</f>
        <v>-38.999999999999829</v>
      </c>
      <c r="C3" s="40">
        <f>1/('NTC PAW-A2W-TSOD'!$J$12+'NTC PAW-A2W-TSOD'!$J$13*LN(A3)+'NTC PAW-A2W-TSOD'!$J$14*(LN(A3))^3)-273.15</f>
        <v>-18.964776889819632</v>
      </c>
      <c r="D3" s="40">
        <f t="shared" si="0"/>
        <v>20.035223110180198</v>
      </c>
    </row>
    <row r="4" spans="1:6" x14ac:dyDescent="0.25">
      <c r="A4" s="2">
        <f>'NTC PAW-A2W-TSOD'!F4*$F$2/('NTC PAW-A2W-TSOD'!F4+$F$2)</f>
        <v>49862.060885990708</v>
      </c>
      <c r="B4" s="2">
        <f>'NTC PAW-A2W-TSOD'!G4</f>
        <v>-38</v>
      </c>
      <c r="C4" s="40">
        <f>1/('NTC PAW-A2W-TSOD'!$J$12+'NTC PAW-A2W-TSOD'!$J$13*LN(A4)+'NTC PAW-A2W-TSOD'!$J$14*(LN(A4))^3)-273.15</f>
        <v>-18.592703068132835</v>
      </c>
      <c r="D4" s="40">
        <f t="shared" si="0"/>
        <v>19.407296931867165</v>
      </c>
    </row>
    <row r="5" spans="1:6" x14ac:dyDescent="0.25">
      <c r="A5" s="2">
        <f>'NTC PAW-A2W-TSOD'!F5*$F$2/('NTC PAW-A2W-TSOD'!F5+$F$2)</f>
        <v>48855.082086985967</v>
      </c>
      <c r="B5" s="2">
        <f>'NTC PAW-A2W-TSOD'!G5</f>
        <v>-37.000000000000142</v>
      </c>
      <c r="C5" s="40">
        <f>1/('NTC PAW-A2W-TSOD'!$J$12+'NTC PAW-A2W-TSOD'!$J$13*LN(A5)+'NTC PAW-A2W-TSOD'!$J$14*(LN(A5))^3)-273.15</f>
        <v>-18.207117849363271</v>
      </c>
      <c r="D5" s="40">
        <f t="shared" si="0"/>
        <v>18.792882150636871</v>
      </c>
    </row>
    <row r="6" spans="1:6" x14ac:dyDescent="0.25">
      <c r="A6" s="2">
        <f>'NTC PAW-A2W-TSOD'!F6*$F$2/('NTC PAW-A2W-TSOD'!F6+$F$2)</f>
        <v>47836.390352797695</v>
      </c>
      <c r="B6" s="2">
        <f>'NTC PAW-A2W-TSOD'!G6</f>
        <v>-36.000000000000028</v>
      </c>
      <c r="C6" s="40">
        <f>1/('NTC PAW-A2W-TSOD'!$J$12+'NTC PAW-A2W-TSOD'!$J$13*LN(A6)+'NTC PAW-A2W-TSOD'!$J$14*(LN(A6))^3)-273.15</f>
        <v>-17.807912618185867</v>
      </c>
      <c r="D6" s="40">
        <f t="shared" si="0"/>
        <v>18.192087381814162</v>
      </c>
    </row>
    <row r="7" spans="1:6" x14ac:dyDescent="0.25">
      <c r="A7" s="2">
        <f>'NTC PAW-A2W-TSOD'!F7*$F$2/('NTC PAW-A2W-TSOD'!F7+$F$2)</f>
        <v>46807.603996620477</v>
      </c>
      <c r="B7" s="2">
        <f>'NTC PAW-A2W-TSOD'!G7</f>
        <v>-35.000000000000057</v>
      </c>
      <c r="C7" s="40">
        <f>1/('NTC PAW-A2W-TSOD'!$J$12+'NTC PAW-A2W-TSOD'!$J$13*LN(A7)+'NTC PAW-A2W-TSOD'!$J$14*(LN(A7))^3)-273.15</f>
        <v>-17.394999945422541</v>
      </c>
      <c r="D7" s="40">
        <f t="shared" si="0"/>
        <v>17.605000054577516</v>
      </c>
    </row>
    <row r="8" spans="1:6" x14ac:dyDescent="0.25">
      <c r="A8" s="2">
        <f>'NTC PAW-A2W-TSOD'!F8*$F$2/('NTC PAW-A2W-TSOD'!F8+$F$2)</f>
        <v>45770.38602847296</v>
      </c>
      <c r="B8" s="2">
        <f>'NTC PAW-A2W-TSOD'!G8</f>
        <v>-34.000000000000057</v>
      </c>
      <c r="C8" s="40">
        <f>1/('NTC PAW-A2W-TSOD'!$J$12+'NTC PAW-A2W-TSOD'!$J$13*LN(A8)+'NTC PAW-A2W-TSOD'!$J$14*(LN(A8))^3)-273.15</f>
        <v>-16.968313944653005</v>
      </c>
      <c r="D8" s="40">
        <f t="shared" si="0"/>
        <v>17.031686055347052</v>
      </c>
    </row>
    <row r="9" spans="1:6" x14ac:dyDescent="0.25">
      <c r="A9" s="2">
        <f>'NTC PAW-A2W-TSOD'!F9*$F$2/('NTC PAW-A2W-TSOD'!F9+$F$2)</f>
        <v>44726.433183423294</v>
      </c>
      <c r="B9" s="2">
        <f>'NTC PAW-A2W-TSOD'!G9</f>
        <v>-33.000000000000256</v>
      </c>
      <c r="C9" s="40">
        <f>1/('NTC PAW-A2W-TSOD'!$J$12+'NTC PAW-A2W-TSOD'!$J$13*LN(A9)+'NTC PAW-A2W-TSOD'!$J$14*(LN(A9))^3)-273.15</f>
        <v>-16.527810491948628</v>
      </c>
      <c r="D9" s="40">
        <f t="shared" si="0"/>
        <v>16.472189508051628</v>
      </c>
    </row>
    <row r="10" spans="1:6" x14ac:dyDescent="0.25">
      <c r="A10" s="2">
        <f>'NTC PAW-A2W-TSOD'!F10*$F$2/('NTC PAW-A2W-TSOD'!F10+$F$2)</f>
        <v>43677.464641805665</v>
      </c>
      <c r="B10" s="2">
        <f>'NTC PAW-A2W-TSOD'!G10</f>
        <v>-31.999999999999801</v>
      </c>
      <c r="C10" s="40">
        <f>1/('NTC PAW-A2W-TSOD'!$J$12+'NTC PAW-A2W-TSOD'!$J$13*LN(A10)+'NTC PAW-A2W-TSOD'!$J$14*(LN(A10))^3)-273.15</f>
        <v>-16.073467306992882</v>
      </c>
      <c r="D10" s="40">
        <f t="shared" si="0"/>
        <v>15.926532693006919</v>
      </c>
    </row>
    <row r="11" spans="1:6" x14ac:dyDescent="0.25">
      <c r="A11" s="2">
        <f>'NTC PAW-A2W-TSOD'!F11*$F$2/('NTC PAW-A2W-TSOD'!F11+$F$2)</f>
        <v>42625.21060006418</v>
      </c>
      <c r="B11" s="2">
        <f>'NTC PAW-A2W-TSOD'!G11</f>
        <v>-30.999999999999716</v>
      </c>
      <c r="C11" s="40">
        <f>1/('NTC PAW-A2W-TSOD'!$J$12+'NTC PAW-A2W-TSOD'!$J$13*LN(A11)+'NTC PAW-A2W-TSOD'!$J$14*(LN(A11))^3)-273.15</f>
        <v>-15.605283895733862</v>
      </c>
      <c r="D11" s="40">
        <f t="shared" si="0"/>
        <v>15.394716104265854</v>
      </c>
    </row>
    <row r="12" spans="1:6" x14ac:dyDescent="0.25">
      <c r="A12" s="2">
        <f>'NTC PAW-A2W-TSOD'!F12*$F$2/('NTC PAW-A2W-TSOD'!F12+$F$2)</f>
        <v>41571.400852117637</v>
      </c>
      <c r="B12" s="2">
        <f>'NTC PAW-A2W-TSOD'!G12</f>
        <v>-29.999999999999915</v>
      </c>
      <c r="C12" s="40">
        <f>1/('NTC PAW-A2W-TSOD'!$J$12+'NTC PAW-A2W-TSOD'!$J$13*LN(A12)+'NTC PAW-A2W-TSOD'!$J$14*(LN(A12))^3)-273.15</f>
        <v>-15.123281356568441</v>
      </c>
      <c r="D12" s="40">
        <f t="shared" si="0"/>
        <v>14.876718643431474</v>
      </c>
    </row>
    <row r="13" spans="1:6" x14ac:dyDescent="0.25">
      <c r="A13" s="2">
        <f>'NTC PAW-A2W-TSOD'!F13*$F$2/('NTC PAW-A2W-TSOD'!F13+$F$2)</f>
        <v>40517.753538626894</v>
      </c>
      <c r="B13" s="2">
        <f>'NTC PAW-A2W-TSOD'!G13</f>
        <v>-29.000000000000057</v>
      </c>
      <c r="C13" s="40">
        <f>1/('NTC PAW-A2W-TSOD'!$J$12+'NTC PAW-A2W-TSOD'!$J$13*LN(A13)+'NTC PAW-A2W-TSOD'!$J$14*(LN(A13))^3)-273.15</f>
        <v>-14.627502053862486</v>
      </c>
      <c r="D13" s="40">
        <f t="shared" si="0"/>
        <v>14.372497946137571</v>
      </c>
    </row>
    <row r="14" spans="1:6" x14ac:dyDescent="0.25">
      <c r="A14" s="2">
        <f>'NTC PAW-A2W-TSOD'!F14*$F$2/('NTC PAW-A2W-TSOD'!F14+$F$2)</f>
        <v>39465.964215352862</v>
      </c>
      <c r="B14" s="2">
        <f>'NTC PAW-A2W-TSOD'!G14</f>
        <v>-28.000000000000114</v>
      </c>
      <c r="C14" s="40">
        <f>1/('NTC PAW-A2W-TSOD'!$J$12+'NTC PAW-A2W-TSOD'!$J$13*LN(A14)+'NTC PAW-A2W-TSOD'!$J$14*(LN(A14))^3)-273.15</f>
        <v>-14.118009164304397</v>
      </c>
      <c r="D14" s="40">
        <f t="shared" si="0"/>
        <v>13.881990835695717</v>
      </c>
    </row>
    <row r="15" spans="1:6" x14ac:dyDescent="0.25">
      <c r="A15" s="2">
        <f>'NTC PAW-A2W-TSOD'!F15*$F$2/('NTC PAW-A2W-TSOD'!F15+$F$2)</f>
        <v>38417.695382226935</v>
      </c>
      <c r="B15" s="2">
        <f>'NTC PAW-A2W-TSOD'!G15</f>
        <v>-26.999999999999943</v>
      </c>
      <c r="C15" s="40">
        <f>1/('NTC PAW-A2W-TSOD'!$J$12+'NTC PAW-A2W-TSOD'!$J$13*LN(A15)+'NTC PAW-A2W-TSOD'!$J$14*(LN(A15))^3)-273.15</f>
        <v>-13.59488610315168</v>
      </c>
      <c r="D15" s="40">
        <f t="shared" si="0"/>
        <v>13.405113896848263</v>
      </c>
    </row>
    <row r="16" spans="1:6" x14ac:dyDescent="0.25">
      <c r="A16" s="2">
        <f>'NTC PAW-A2W-TSOD'!F16*$F$2/('NTC PAW-A2W-TSOD'!F16+$F$2)</f>
        <v>37374.566602192608</v>
      </c>
      <c r="B16" s="2">
        <f>'NTC PAW-A2W-TSOD'!G16</f>
        <v>-25.999999999999972</v>
      </c>
      <c r="C16" s="40">
        <f>1/('NTC PAW-A2W-TSOD'!$J$12+'NTC PAW-A2W-TSOD'!$J$13*LN(A16)+'NTC PAW-A2W-TSOD'!$J$14*(LN(A16))^3)-273.15</f>
        <v>-13.05823583882011</v>
      </c>
      <c r="D16" s="40">
        <f t="shared" si="0"/>
        <v>12.941764161179862</v>
      </c>
    </row>
    <row r="17" spans="1:4" x14ac:dyDescent="0.25">
      <c r="A17" s="2">
        <f>'NTC PAW-A2W-TSOD'!F17*$F$2/('NTC PAW-A2W-TSOD'!F17+$F$2)</f>
        <v>36338.145323776778</v>
      </c>
      <c r="B17" s="2">
        <f>'NTC PAW-A2W-TSOD'!G17</f>
        <v>-24.999999999999687</v>
      </c>
      <c r="C17" s="40">
        <f>1/('NTC PAW-A2W-TSOD'!$J$12+'NTC PAW-A2W-TSOD'!$J$13*LN(A17)+'NTC PAW-A2W-TSOD'!$J$14*(LN(A17))^3)-273.15</f>
        <v>-12.508180105461349</v>
      </c>
      <c r="D17" s="40">
        <f t="shared" si="0"/>
        <v>12.491819894538338</v>
      </c>
    </row>
    <row r="18" spans="1:4" x14ac:dyDescent="0.25">
      <c r="A18" s="2">
        <f>'NTC PAW-A2W-TSOD'!F18*$F$2/('NTC PAW-A2W-TSOD'!F18+$F$2)</f>
        <v>35309.938504281788</v>
      </c>
      <c r="B18" s="2">
        <f>'NTC PAW-A2W-TSOD'!G18</f>
        <v>-23.999999999999972</v>
      </c>
      <c r="C18" s="40">
        <f>1/('NTC PAW-A2W-TSOD'!$J$12+'NTC PAW-A2W-TSOD'!$J$13*LN(A18)+'NTC PAW-A2W-TSOD'!$J$14*(LN(A18))^3)-273.15</f>
        <v>-11.94485852415994</v>
      </c>
      <c r="D18" s="40">
        <f t="shared" si="0"/>
        <v>12.055141475840031</v>
      </c>
    </row>
    <row r="19" spans="1:4" x14ac:dyDescent="0.25">
      <c r="A19" s="2">
        <f>'NTC PAW-A2W-TSOD'!F19*$F$2/('NTC PAW-A2W-TSOD'!F19+$F$2)</f>
        <v>34291.385111994976</v>
      </c>
      <c r="B19" s="2">
        <f>'NTC PAW-A2W-TSOD'!G19</f>
        <v>-22.999999999999801</v>
      </c>
      <c r="C19" s="40">
        <f>1/('NTC PAW-A2W-TSOD'!$J$12+'NTC PAW-A2W-TSOD'!$J$13*LN(A19)+'NTC PAW-A2W-TSOD'!$J$14*(LN(A19))^3)-273.15</f>
        <v>-11.368427644129667</v>
      </c>
      <c r="D19" s="40">
        <f t="shared" si="0"/>
        <v>11.631572355870134</v>
      </c>
    </row>
    <row r="20" spans="1:4" x14ac:dyDescent="0.25">
      <c r="A20" s="2">
        <f>'NTC PAW-A2W-TSOD'!F20*$F$2/('NTC PAW-A2W-TSOD'!F20+$F$2)</f>
        <v>33283.849566557677</v>
      </c>
      <c r="B20" s="2">
        <f>'NTC PAW-A2W-TSOD'!G20</f>
        <v>-22.000000000000142</v>
      </c>
      <c r="C20" s="40">
        <f>1/('NTC PAW-A2W-TSOD'!$J$12+'NTC PAW-A2W-TSOD'!$J$13*LN(A20)+'NTC PAW-A2W-TSOD'!$J$14*(LN(A20))^3)-273.15</f>
        <v>-10.779059915827247</v>
      </c>
      <c r="D20" s="40">
        <f t="shared" si="0"/>
        <v>11.220940084172895</v>
      </c>
    </row>
    <row r="21" spans="1:4" x14ac:dyDescent="0.25">
      <c r="A21" s="2">
        <f>'NTC PAW-A2W-TSOD'!F21*$F$2/('NTC PAW-A2W-TSOD'!F21+$F$2)</f>
        <v>32288.616157113473</v>
      </c>
      <c r="B21" s="2">
        <f>'NTC PAW-A2W-TSOD'!G21</f>
        <v>-20.999999999999545</v>
      </c>
      <c r="C21" s="40">
        <f>1/('NTC PAW-A2W-TSOD'!$J$12+'NTC PAW-A2W-TSOD'!$J$13*LN(A21)+'NTC PAW-A2W-TSOD'!$J$14*(LN(A21))^3)-273.15</f>
        <v>-10.176942608177399</v>
      </c>
      <c r="D21" s="40">
        <f t="shared" si="0"/>
        <v>10.823057391822147</v>
      </c>
    </row>
    <row r="22" spans="1:4" x14ac:dyDescent="0.25">
      <c r="A22" s="2">
        <f>'NTC PAW-A2W-TSOD'!F22*$F$2/('NTC PAW-A2W-TSOD'!F22+$F$2)</f>
        <v>31306.884458738692</v>
      </c>
      <c r="B22" s="2">
        <f>'NTC PAW-A2W-TSOD'!G22</f>
        <v>-20.000000000000114</v>
      </c>
      <c r="C22" s="40">
        <f>1/('NTC PAW-A2W-TSOD'!$J$12+'NTC PAW-A2W-TSOD'!$J$13*LN(A22)+'NTC PAW-A2W-TSOD'!$J$14*(LN(A22))^3)-273.15</f>
        <v>-9.56227668219816</v>
      </c>
      <c r="D22" s="40">
        <f t="shared" si="0"/>
        <v>10.437723317801954</v>
      </c>
    </row>
    <row r="23" spans="1:4" x14ac:dyDescent="0.25">
      <c r="A23" s="2">
        <f>'NTC PAW-A2W-TSOD'!F23*$F$2/('NTC PAW-A2W-TSOD'!F23+$F$2)</f>
        <v>30339.765749307444</v>
      </c>
      <c r="B23" s="2">
        <f>'NTC PAW-A2W-TSOD'!G23</f>
        <v>-19.000000000000057</v>
      </c>
      <c r="C23" s="40">
        <f>1/('NTC PAW-A2W-TSOD'!$J$12+'NTC PAW-A2W-TSOD'!$J$13*LN(A23)+'NTC PAW-A2W-TSOD'!$J$14*(LN(A23))^3)-273.15</f>
        <v>-8.9352756331516616</v>
      </c>
      <c r="D23" s="40">
        <f t="shared" si="0"/>
        <v>10.064724366848395</v>
      </c>
    </row>
    <row r="24" spans="1:4" x14ac:dyDescent="0.25">
      <c r="A24" s="2">
        <f>'NTC PAW-A2W-TSOD'!F24*$F$2/('NTC PAW-A2W-TSOD'!F24+$F$2)</f>
        <v>29388.280411955522</v>
      </c>
      <c r="B24" s="2">
        <f>'NTC PAW-A2W-TSOD'!G24</f>
        <v>-18.000000000000057</v>
      </c>
      <c r="C24" s="40">
        <f>1/('NTC PAW-A2W-TSOD'!$J$12+'NTC PAW-A2W-TSOD'!$J$13*LN(A24)+'NTC PAW-A2W-TSOD'!$J$14*(LN(A24))^3)-273.15</f>
        <v>-8.2961643130470861</v>
      </c>
      <c r="D24" s="40">
        <f t="shared" si="0"/>
        <v>9.7038356869529707</v>
      </c>
    </row>
    <row r="25" spans="1:4" x14ac:dyDescent="0.25">
      <c r="A25" s="2">
        <f>'NTC PAW-A2W-TSOD'!F25*$F$2/('NTC PAW-A2W-TSOD'!F25+$F$2)</f>
        <v>28453.356292850764</v>
      </c>
      <c r="B25" s="2">
        <f>'NTC PAW-A2W-TSOD'!G25</f>
        <v>-17</v>
      </c>
      <c r="C25" s="40">
        <f>1/('NTC PAW-A2W-TSOD'!$J$12+'NTC PAW-A2W-TSOD'!$J$13*LN(A25)+'NTC PAW-A2W-TSOD'!$J$14*(LN(A25))^3)-273.15</f>
        <v>-7.6451777447916811</v>
      </c>
      <c r="D25" s="40">
        <f t="shared" si="0"/>
        <v>9.3548222552083189</v>
      </c>
    </row>
    <row r="26" spans="1:4" x14ac:dyDescent="0.25">
      <c r="A26" s="2">
        <f>'NTC PAW-A2W-TSOD'!F26*$F$2/('NTC PAW-A2W-TSOD'!F26+$F$2)</f>
        <v>27535.82797049556</v>
      </c>
      <c r="B26" s="2">
        <f>'NTC PAW-A2W-TSOD'!G26</f>
        <v>-16.000000000000057</v>
      </c>
      <c r="C26" s="40">
        <f>1/('NTC PAW-A2W-TSOD'!$J$12+'NTC PAW-A2W-TSOD'!$J$13*LN(A26)+'NTC PAW-A2W-TSOD'!$J$14*(LN(A26))^3)-273.15</f>
        <v>-6.9825599386641102</v>
      </c>
      <c r="D26" s="40">
        <f t="shared" si="0"/>
        <v>9.0174400613359467</v>
      </c>
    </row>
    <row r="27" spans="1:4" x14ac:dyDescent="0.25">
      <c r="A27" s="2">
        <f>'NTC PAW-A2W-TSOD'!F27*$F$2/('NTC PAW-A2W-TSOD'!F27+$F$2)</f>
        <v>26636.436881325564</v>
      </c>
      <c r="B27" s="2">
        <f>'NTC PAW-A2W-TSOD'!G27</f>
        <v>-14.999999999999602</v>
      </c>
      <c r="C27" s="40">
        <f>1/('NTC PAW-A2W-TSOD'!$J$12+'NTC PAW-A2W-TSOD'!$J$13*LN(A27)+'NTC PAW-A2W-TSOD'!$J$14*(LN(A27))^3)-273.15</f>
        <v>-6.3085627210011239</v>
      </c>
      <c r="D27" s="40">
        <f t="shared" si="0"/>
        <v>8.6914372789984782</v>
      </c>
    </row>
    <row r="28" spans="1:4" x14ac:dyDescent="0.25">
      <c r="A28" s="2">
        <f>'NTC PAW-A2W-TSOD'!F28*$F$2/('NTC PAW-A2W-TSOD'!F28+$F$2)</f>
        <v>25755.832237107788</v>
      </c>
      <c r="B28" s="2">
        <f>'NTC PAW-A2W-TSOD'!G28</f>
        <v>-14.000000000000284</v>
      </c>
      <c r="C28" s="40">
        <f>1/('NTC PAW-A2W-TSOD'!$J$12+'NTC PAW-A2W-TSOD'!$J$13*LN(A28)+'NTC PAW-A2W-TSOD'!$J$14*(LN(A28))^3)-273.15</f>
        <v>-5.6234445841378715</v>
      </c>
      <c r="D28" s="40">
        <f t="shared" si="0"/>
        <v>8.3765554158624127</v>
      </c>
    </row>
    <row r="29" spans="1:4" x14ac:dyDescent="0.25">
      <c r="A29" s="2">
        <f>'NTC PAW-A2W-TSOD'!F29*$F$2/('NTC PAW-A2W-TSOD'!F29+$F$2)</f>
        <v>24894.572662536055</v>
      </c>
      <c r="B29" s="2">
        <f>'NTC PAW-A2W-TSOD'!G29</f>
        <v>-13.000000000000057</v>
      </c>
      <c r="C29" s="40">
        <f>1/('NTC PAW-A2W-TSOD'!$J$12+'NTC PAW-A2W-TSOD'!$J$13*LN(A29)+'NTC PAW-A2W-TSOD'!$J$14*(LN(A29))^3)-273.15</f>
        <v>-4.9274695656964127</v>
      </c>
      <c r="D29" s="40">
        <f t="shared" si="0"/>
        <v>8.0725304343036441</v>
      </c>
    </row>
    <row r="30" spans="1:4" x14ac:dyDescent="0.25">
      <c r="A30" s="2">
        <f>'NTC PAW-A2W-TSOD'!F30*$F$2/('NTC PAW-A2W-TSOD'!F30+$F$2)</f>
        <v>24053.128476504426</v>
      </c>
      <c r="B30" s="2">
        <f>'NTC PAW-A2W-TSOD'!G30</f>
        <v>-11.999999999999659</v>
      </c>
      <c r="C30" s="40">
        <f>1/('NTC PAW-A2W-TSOD'!$J$12+'NTC PAW-A2W-TSOD'!$J$13*LN(A30)+'NTC PAW-A2W-TSOD'!$J$14*(LN(A30))^3)-273.15</f>
        <v>-4.2209061643656014</v>
      </c>
      <c r="D30" s="40">
        <f t="shared" si="0"/>
        <v>7.7790938356340575</v>
      </c>
    </row>
    <row r="31" spans="1:4" x14ac:dyDescent="0.25">
      <c r="A31" s="2">
        <f>'NTC PAW-A2W-TSOD'!F31*$F$2/('NTC PAW-A2W-TSOD'!F31+$F$2)</f>
        <v>23231.884537572259</v>
      </c>
      <c r="B31" s="2">
        <f>'NTC PAW-A2W-TSOD'!G31</f>
        <v>-10.999999999999716</v>
      </c>
      <c r="C31" s="40">
        <f>1/('NTC PAW-A2W-TSOD'!$J$12+'NTC PAW-A2W-TSOD'!$J$13*LN(A31)+'NTC PAW-A2W-TSOD'!$J$14*(LN(A31))^3)-273.15</f>
        <v>-3.5040262982932973</v>
      </c>
      <c r="D31" s="40">
        <f t="shared" si="0"/>
        <v>7.4959737017064185</v>
      </c>
    </row>
    <row r="32" spans="1:4" x14ac:dyDescent="0.25">
      <c r="A32" s="2">
        <f>'NTC PAW-A2W-TSOD'!F32*$F$2/('NTC PAW-A2W-TSOD'!F32+$F$2)</f>
        <v>22431.143573109359</v>
      </c>
      <c r="B32" s="2">
        <f>'NTC PAW-A2W-TSOD'!G32</f>
        <v>-9.9999999999999432</v>
      </c>
      <c r="C32" s="40">
        <f>1/('NTC PAW-A2W-TSOD'!$J$12+'NTC PAW-A2W-TSOD'!$J$13*LN(A32)+'NTC PAW-A2W-TSOD'!$J$14*(LN(A32))^3)-273.15</f>
        <v>-2.7771043112388156</v>
      </c>
      <c r="D32" s="40">
        <f t="shared" si="0"/>
        <v>7.2228956887611275</v>
      </c>
    </row>
    <row r="33" spans="1:4" x14ac:dyDescent="0.25">
      <c r="A33" s="2">
        <f>'NTC PAW-A2W-TSOD'!F33*$F$2/('NTC PAW-A2W-TSOD'!F33+$F$2)</f>
        <v>21651.129912209191</v>
      </c>
      <c r="B33" s="2">
        <f>'NTC PAW-A2W-TSOD'!G33</f>
        <v>-9.0000000000001137</v>
      </c>
      <c r="C33" s="40">
        <f>1/('NTC PAW-A2W-TSOD'!$J$12+'NTC PAW-A2W-TSOD'!$J$13*LN(A33)+'NTC PAW-A2W-TSOD'!$J$14*(LN(A33))^3)-273.15</f>
        <v>-2.0404160306530343</v>
      </c>
      <c r="D33" s="40">
        <f t="shared" si="0"/>
        <v>6.9595839693470793</v>
      </c>
    </row>
    <row r="34" spans="1:4" x14ac:dyDescent="0.25">
      <c r="A34" s="2">
        <f>'NTC PAW-A2W-TSOD'!F34*$F$2/('NTC PAW-A2W-TSOD'!F34+$F$2)</f>
        <v>20891.993544531735</v>
      </c>
      <c r="B34" s="2">
        <f>'NTC PAW-A2W-TSOD'!G34</f>
        <v>-7.9999999999997726</v>
      </c>
      <c r="C34" s="40">
        <f>1/('NTC PAW-A2W-TSOD'!$J$12+'NTC PAW-A2W-TSOD'!$J$13*LN(A34)+'NTC PAW-A2W-TSOD'!$J$14*(LN(A34))^3)-273.15</f>
        <v>-1.2942378809140678</v>
      </c>
      <c r="D34" s="40">
        <f t="shared" ref="D34:D65" si="1">C34-B34</f>
        <v>6.7057621190857049</v>
      </c>
    </row>
    <row r="35" spans="1:4" x14ac:dyDescent="0.25">
      <c r="A35" s="2">
        <f>'NTC PAW-A2W-TSOD'!F35*$F$2/('NTC PAW-A2W-TSOD'!F35+$F$2)</f>
        <v>20153.814430538703</v>
      </c>
      <c r="B35" s="2">
        <f>'NTC PAW-A2W-TSOD'!G35</f>
        <v>-7.0000000000001137</v>
      </c>
      <c r="C35" s="40">
        <f>1/('NTC PAW-A2W-TSOD'!$J$12+'NTC PAW-A2W-TSOD'!$J$13*LN(A35)+'NTC PAW-A2W-TSOD'!$J$14*(LN(A35))^3)-273.15</f>
        <v>-0.53884605406335595</v>
      </c>
      <c r="D35" s="40">
        <f t="shared" si="1"/>
        <v>6.4611539459367577</v>
      </c>
    </row>
    <row r="36" spans="1:4" x14ac:dyDescent="0.25">
      <c r="A36" s="2">
        <f>'NTC PAW-A2W-TSOD'!F36*$F$2/('NTC PAW-A2W-TSOD'!F36+$F$2)</f>
        <v>19436.606992868412</v>
      </c>
      <c r="B36" s="2">
        <f>'NTC PAW-A2W-TSOD'!G36</f>
        <v>-5.9999999999999432</v>
      </c>
      <c r="C36" s="40">
        <f>1/('NTC PAW-A2W-TSOD'!$J$12+'NTC PAW-A2W-TSOD'!$J$13*LN(A36)+'NTC PAW-A2W-TSOD'!$J$14*(LN(A36))^3)-273.15</f>
        <v>0.22548426045187853</v>
      </c>
      <c r="D36" s="40">
        <f t="shared" si="1"/>
        <v>6.2254842604518217</v>
      </c>
    </row>
    <row r="37" spans="1:4" x14ac:dyDescent="0.25">
      <c r="A37" s="2">
        <f>'NTC PAW-A2W-TSOD'!F37*$F$2/('NTC PAW-A2W-TSOD'!F37+$F$2)</f>
        <v>18740.324723673733</v>
      </c>
      <c r="B37" s="2">
        <f>'NTC PAW-A2W-TSOD'!G37</f>
        <v>-5.0000000000003411</v>
      </c>
      <c r="C37" s="40">
        <f>1/('NTC PAW-A2W-TSOD'!$J$12+'NTC PAW-A2W-TSOD'!$J$13*LN(A37)+'NTC PAW-A2W-TSOD'!$J$14*(LN(A37))^3)-273.15</f>
        <v>0.99847958626270383</v>
      </c>
      <c r="D37" s="40">
        <f t="shared" si="1"/>
        <v>5.9984795862630449</v>
      </c>
    </row>
    <row r="38" spans="1:4" x14ac:dyDescent="0.25">
      <c r="A38" s="2">
        <f>'NTC PAW-A2W-TSOD'!F38*$F$2/('NTC PAW-A2W-TSOD'!F38+$F$2)</f>
        <v>18064.864848329595</v>
      </c>
      <c r="B38" s="2">
        <f>'NTC PAW-A2W-TSOD'!G38</f>
        <v>-3.9999999999998295</v>
      </c>
      <c r="C38" s="40">
        <f>1/('NTC PAW-A2W-TSOD'!$J$12+'NTC PAW-A2W-TSOD'!$J$13*LN(A38)+'NTC PAW-A2W-TSOD'!$J$14*(LN(A38))^3)-273.15</f>
        <v>1.7798688107392877</v>
      </c>
      <c r="D38" s="40">
        <f t="shared" si="1"/>
        <v>5.7798688107391172</v>
      </c>
    </row>
    <row r="39" spans="1:4" x14ac:dyDescent="0.25">
      <c r="A39" s="2">
        <f>'NTC PAW-A2W-TSOD'!F39*$F$2/('NTC PAW-A2W-TSOD'!F39+$F$2)</f>
        <v>17410.072991907215</v>
      </c>
      <c r="B39" s="2">
        <f>'NTC PAW-A2W-TSOD'!G39</f>
        <v>-2.9999999999998295</v>
      </c>
      <c r="C39" s="40">
        <f>1/('NTC PAW-A2W-TSOD'!$J$12+'NTC PAW-A2W-TSOD'!$J$13*LN(A39)+'NTC PAW-A2W-TSOD'!$J$14*(LN(A39))^3)-273.15</f>
        <v>2.5693837763575971</v>
      </c>
      <c r="D39" s="40">
        <f t="shared" si="1"/>
        <v>5.5693837763574265</v>
      </c>
    </row>
    <row r="40" spans="1:4" x14ac:dyDescent="0.25">
      <c r="A40" s="2">
        <f>'NTC PAW-A2W-TSOD'!F40*$F$2/('NTC PAW-A2W-TSOD'!F40+$F$2)</f>
        <v>16775.747800913618</v>
      </c>
      <c r="B40" s="2">
        <f>'NTC PAW-A2W-TSOD'!G40</f>
        <v>-1.9999999999997726</v>
      </c>
      <c r="C40" s="40">
        <f>1/('NTC PAW-A2W-TSOD'!$J$12+'NTC PAW-A2W-TSOD'!$J$13*LN(A40)+'NTC PAW-A2W-TSOD'!$J$14*(LN(A40))^3)-273.15</f>
        <v>3.366759813867418</v>
      </c>
      <c r="D40" s="40">
        <f t="shared" si="1"/>
        <v>5.3667598138671906</v>
      </c>
    </row>
    <row r="41" spans="1:4" x14ac:dyDescent="0.25">
      <c r="A41" s="2">
        <f>'NTC PAW-A2W-TSOD'!F41*$F$2/('NTC PAW-A2W-TSOD'!F41+$F$2)</f>
        <v>16161.645478975983</v>
      </c>
      <c r="B41" s="2">
        <f>'NTC PAW-A2W-TSOD'!G41</f>
        <v>-0.99999999999977263</v>
      </c>
      <c r="C41" s="40">
        <f>1/('NTC PAW-A2W-TSOD'!$J$12+'NTC PAW-A2W-TSOD'!$J$13*LN(A41)+'NTC PAW-A2W-TSOD'!$J$14*(LN(A41))^3)-273.15</f>
        <v>4.1717362187862363</v>
      </c>
      <c r="D41" s="40">
        <f t="shared" si="1"/>
        <v>5.171736218786009</v>
      </c>
    </row>
    <row r="42" spans="1:4" x14ac:dyDescent="0.25">
      <c r="A42" s="2">
        <f>'NTC PAW-A2W-TSOD'!F42*$F$2/('NTC PAW-A2W-TSOD'!F42+$F$2)</f>
        <v>15567.484201163981</v>
      </c>
      <c r="B42" s="2">
        <f>'NTC PAW-A2W-TSOD'!G42</f>
        <v>0</v>
      </c>
      <c r="C42" s="40">
        <f>1/('NTC PAW-A2W-TSOD'!$J$12+'NTC PAW-A2W-TSOD'!$J$13*LN(A42)+'NTC PAW-A2W-TSOD'!$J$14*(LN(A42))^3)-273.15</f>
        <v>4.9840566731506328</v>
      </c>
      <c r="D42" s="40">
        <f t="shared" si="1"/>
        <v>4.9840566731506328</v>
      </c>
    </row>
    <row r="43" spans="1:4" x14ac:dyDescent="0.25">
      <c r="A43" s="2">
        <f>'NTC PAW-A2W-TSOD'!F43*$F$2/('NTC PAW-A2W-TSOD'!F43+$F$2)</f>
        <v>14992.948377469384</v>
      </c>
      <c r="B43" s="2">
        <f>'NTC PAW-A2W-TSOD'!G43</f>
        <v>0.99999999999988631</v>
      </c>
      <c r="C43" s="40">
        <f>1/('NTC PAW-A2W-TSOD'!$J$12+'NTC PAW-A2W-TSOD'!$J$13*LN(A43)+'NTC PAW-A2W-TSOD'!$J$14*(LN(A43))^3)-273.15</f>
        <v>5.8034696147582281</v>
      </c>
      <c r="D43" s="40">
        <f t="shared" si="1"/>
        <v>4.8034696147583418</v>
      </c>
    </row>
    <row r="44" spans="1:4" x14ac:dyDescent="0.25">
      <c r="A44" s="2">
        <f>'NTC PAW-A2W-TSOD'!F44*$F$2/('NTC PAW-A2W-TSOD'!F44+$F$2)</f>
        <v>14437.692741464749</v>
      </c>
      <c r="B44" s="2">
        <f>'NTC PAW-A2W-TSOD'!G44</f>
        <v>2</v>
      </c>
      <c r="C44" s="40">
        <f>1/('NTC PAW-A2W-TSOD'!$J$12+'NTC PAW-A2W-TSOD'!$J$13*LN(A44)+'NTC PAW-A2W-TSOD'!$J$14*(LN(A44))^3)-273.15</f>
        <v>6.6297285563857713</v>
      </c>
      <c r="D44" s="40">
        <f t="shared" si="1"/>
        <v>4.6297285563857713</v>
      </c>
    </row>
    <row r="45" spans="1:4" x14ac:dyDescent="0.25">
      <c r="A45" s="2">
        <f>'NTC PAW-A2W-TSOD'!F45*$F$2/('NTC PAW-A2W-TSOD'!F45+$F$2)</f>
        <v>13901.346245297285</v>
      </c>
      <c r="B45" s="2">
        <f>'NTC PAW-A2W-TSOD'!G45</f>
        <v>3.0000000000003979</v>
      </c>
      <c r="C45" s="40">
        <f>1/('NTC PAW-A2W-TSOD'!$J$12+'NTC PAW-A2W-TSOD'!$J$13*LN(A45)+'NTC PAW-A2W-TSOD'!$J$14*(LN(A45))^3)-273.15</f>
        <v>7.4625923576567743</v>
      </c>
      <c r="D45" s="40">
        <f t="shared" si="1"/>
        <v>4.4625923576563764</v>
      </c>
    </row>
    <row r="46" spans="1:4" x14ac:dyDescent="0.25">
      <c r="A46" s="2">
        <f>'NTC PAW-A2W-TSOD'!F46*$F$2/('NTC PAW-A2W-TSOD'!F46+$F$2)</f>
        <v>13383.515746894569</v>
      </c>
      <c r="B46" s="2">
        <f>'NTC PAW-A2W-TSOD'!G46</f>
        <v>4</v>
      </c>
      <c r="C46" s="40">
        <f>1/('NTC PAW-A2W-TSOD'!$J$12+'NTC PAW-A2W-TSOD'!$J$13*LN(A46)+'NTC PAW-A2W-TSOD'!$J$14*(LN(A46))^3)-273.15</f>
        <v>8.3018254523621522</v>
      </c>
      <c r="D46" s="40">
        <f t="shared" si="1"/>
        <v>4.3018254523621522</v>
      </c>
    </row>
    <row r="47" spans="1:4" x14ac:dyDescent="0.25">
      <c r="A47" s="2">
        <f>'NTC PAW-A2W-TSOD'!F47*$F$2/('NTC PAW-A2W-TSOD'!F47+$F$2)</f>
        <v>12883.789479530184</v>
      </c>
      <c r="B47" s="2">
        <f>'NTC PAW-A2W-TSOD'!G47</f>
        <v>4.9999999999998295</v>
      </c>
      <c r="C47" s="40">
        <f>1/('NTC PAW-A2W-TSOD'!$J$12+'NTC PAW-A2W-TSOD'!$J$13*LN(A47)+'NTC PAW-A2W-TSOD'!$J$14*(LN(A47))^3)-273.15</f>
        <v>9.147198034124699</v>
      </c>
      <c r="D47" s="40">
        <f t="shared" si="1"/>
        <v>4.1471980341248695</v>
      </c>
    </row>
    <row r="48" spans="1:4" x14ac:dyDescent="0.25">
      <c r="A48" s="2">
        <f>'NTC PAW-A2W-TSOD'!F48*$F$2/('NTC PAW-A2W-TSOD'!F48+$F$2)</f>
        <v>12401.740297726623</v>
      </c>
      <c r="B48" s="2">
        <f>'NTC PAW-A2W-TSOD'!G48</f>
        <v>5.9999999999998295</v>
      </c>
      <c r="C48" s="40">
        <f>1/('NTC PAW-A2W-TSOD'!$J$12+'NTC PAW-A2W-TSOD'!$J$13*LN(A48)+'NTC PAW-A2W-TSOD'!$J$14*(LN(A48))^3)-273.15</f>
        <v>9.99848620332466</v>
      </c>
      <c r="D48" s="40">
        <f t="shared" si="1"/>
        <v>3.9984862033248305</v>
      </c>
    </row>
    <row r="49" spans="1:4" x14ac:dyDescent="0.25">
      <c r="A49" s="2">
        <f>'NTC PAW-A2W-TSOD'!F49*$F$2/('NTC PAW-A2W-TSOD'!F49+$F$2)</f>
        <v>11936.928696826433</v>
      </c>
      <c r="B49" s="2">
        <f>'NTC PAW-A2W-TSOD'!G49</f>
        <v>6.9999999999998863</v>
      </c>
      <c r="C49" s="40">
        <f>1/('NTC PAW-A2W-TSOD'!$J$12+'NTC PAW-A2W-TSOD'!$J$13*LN(A49)+'NTC PAW-A2W-TSOD'!$J$14*(LN(A49))^3)-273.15</f>
        <v>10.855472078218156</v>
      </c>
      <c r="D49" s="40">
        <f t="shared" si="1"/>
        <v>3.8554720782182699</v>
      </c>
    </row>
    <row r="50" spans="1:4" x14ac:dyDescent="0.25">
      <c r="A50" s="2">
        <f>'NTC PAW-A2W-TSOD'!F50*$F$2/('NTC PAW-A2W-TSOD'!F50+$F$2)</f>
        <v>11488.905606489685</v>
      </c>
      <c r="B50" s="2">
        <f>'NTC PAW-A2W-TSOD'!G50</f>
        <v>8.0000000000002842</v>
      </c>
      <c r="C50" s="40">
        <f>1/('NTC PAW-A2W-TSOD'!$J$12+'NTC PAW-A2W-TSOD'!$J$13*LN(A50)+'NTC PAW-A2W-TSOD'!$J$14*(LN(A50))^3)-273.15</f>
        <v>11.717943873138211</v>
      </c>
      <c r="D50" s="40">
        <f t="shared" si="1"/>
        <v>3.7179438731379264</v>
      </c>
    </row>
    <row r="51" spans="1:4" x14ac:dyDescent="0.25">
      <c r="A51" s="2">
        <f>'NTC PAW-A2W-TSOD'!F51*$F$2/('NTC PAW-A2W-TSOD'!F51+$F$2)</f>
        <v>11057.21496086817</v>
      </c>
      <c r="B51" s="2">
        <f>'NTC PAW-A2W-TSOD'!G51</f>
        <v>8.9999999999997158</v>
      </c>
      <c r="C51" s="40">
        <f>1/('NTC PAW-A2W-TSOD'!$J$12+'NTC PAW-A2W-TSOD'!$J$13*LN(A51)+'NTC PAW-A2W-TSOD'!$J$14*(LN(A51))^3)-273.15</f>
        <v>12.585695946607416</v>
      </c>
      <c r="D51" s="40">
        <f t="shared" si="1"/>
        <v>3.5856959466077001</v>
      </c>
    </row>
    <row r="52" spans="1:4" x14ac:dyDescent="0.25">
      <c r="A52" s="2">
        <f>'NTC PAW-A2W-TSOD'!F52*$F$2/('NTC PAW-A2W-TSOD'!F52+$F$2)</f>
        <v>10641.396050291805</v>
      </c>
      <c r="B52" s="2">
        <f>'NTC PAW-A2W-TSOD'!G52</f>
        <v>10.000000000000057</v>
      </c>
      <c r="C52" s="40">
        <f>1/('NTC PAW-A2W-TSOD'!$J$12+'NTC PAW-A2W-TSOD'!$J$13*LN(A52)+'NTC PAW-A2W-TSOD'!$J$14*(LN(A52))^3)-273.15</f>
        <v>13.45852882211716</v>
      </c>
      <c r="D52" s="40">
        <f t="shared" si="1"/>
        <v>3.4585288221171027</v>
      </c>
    </row>
    <row r="53" spans="1:4" x14ac:dyDescent="0.25">
      <c r="A53" s="2">
        <f>'NTC PAW-A2W-TSOD'!F53*$F$2/('NTC PAW-A2W-TSOD'!F53+$F$2)</f>
        <v>10240.985661030889</v>
      </c>
      <c r="B53" s="2">
        <f>'NTC PAW-A2W-TSOD'!G53</f>
        <v>11.000000000000171</v>
      </c>
      <c r="C53" s="40">
        <f>1/('NTC PAW-A2W-TSOD'!$J$12+'NTC PAW-A2W-TSOD'!$J$13*LN(A53)+'NTC PAW-A2W-TSOD'!$J$14*(LN(A53))^3)-273.15</f>
        <v>14.336249184205428</v>
      </c>
      <c r="D53" s="40">
        <f t="shared" si="1"/>
        <v>3.3362491842052577</v>
      </c>
    </row>
    <row r="54" spans="1:4" x14ac:dyDescent="0.25">
      <c r="A54" s="2">
        <f>'NTC PAW-A2W-TSOD'!F54*$F$2/('NTC PAW-A2W-TSOD'!F54+$F$2)</f>
        <v>9855.5200110557125</v>
      </c>
      <c r="B54" s="2">
        <f>'NTC PAW-A2W-TSOD'!G54</f>
        <v>12.000000000000455</v>
      </c>
      <c r="C54" s="40">
        <f>1/('NTC PAW-A2W-TSOD'!$J$12+'NTC PAW-A2W-TSOD'!$J$13*LN(A54)+'NTC PAW-A2W-TSOD'!$J$14*(LN(A54))^3)-273.15</f>
        <v>15.218669852380458</v>
      </c>
      <c r="D54" s="40">
        <f t="shared" si="1"/>
        <v>3.2186698523800032</v>
      </c>
    </row>
    <row r="55" spans="1:4" x14ac:dyDescent="0.25">
      <c r="A55" s="2">
        <f>'NTC PAW-A2W-TSOD'!F55*$F$2/('NTC PAW-A2W-TSOD'!F55+$F$2)</f>
        <v>9484.5364907951662</v>
      </c>
      <c r="B55" s="2">
        <f>'NTC PAW-A2W-TSOD'!G55</f>
        <v>13.000000000000227</v>
      </c>
      <c r="C55" s="40">
        <f>1/('NTC PAW-A2W-TSOD'!$J$12+'NTC PAW-A2W-TSOD'!$J$13*LN(A55)+'NTC PAW-A2W-TSOD'!$J$14*(LN(A55))^3)-273.15</f>
        <v>16.105609735279245</v>
      </c>
      <c r="D55" s="40">
        <f t="shared" si="1"/>
        <v>3.1056097352790175</v>
      </c>
    </row>
    <row r="56" spans="1:4" x14ac:dyDescent="0.25">
      <c r="A56" s="2">
        <f>'NTC PAW-A2W-TSOD'!F56*$F$2/('NTC PAW-A2W-TSOD'!F56+$F$2)</f>
        <v>9127.5752186722621</v>
      </c>
      <c r="B56" s="2">
        <f>'NTC PAW-A2W-TSOD'!G56</f>
        <v>14.000000000000284</v>
      </c>
      <c r="C56" s="40">
        <f>1/('NTC PAW-A2W-TSOD'!$J$12+'NTC PAW-A2W-TSOD'!$J$13*LN(A56)+'NTC PAW-A2W-TSOD'!$J$14*(LN(A56))^3)-273.15</f>
        <v>16.996893767339884</v>
      </c>
      <c r="D56" s="40">
        <f t="shared" si="1"/>
        <v>2.9968937673395999</v>
      </c>
    </row>
    <row r="57" spans="1:4" x14ac:dyDescent="0.25">
      <c r="A57" s="2">
        <f>'NTC PAW-A2W-TSOD'!F57*$F$2/('NTC PAW-A2W-TSOD'!F57+$F$2)</f>
        <v>8784.180421746536</v>
      </c>
      <c r="B57" s="2">
        <f>'NTC PAW-A2W-TSOD'!G57</f>
        <v>14.999999999999829</v>
      </c>
      <c r="C57" s="40">
        <f>1/('NTC PAW-A2W-TSOD'!$J$12+'NTC PAW-A2W-TSOD'!$J$13*LN(A57)+'NTC PAW-A2W-TSOD'!$J$14*(LN(A57))^3)-273.15</f>
        <v>17.892352830108621</v>
      </c>
      <c r="D57" s="40">
        <f t="shared" si="1"/>
        <v>2.8923528301087913</v>
      </c>
    </row>
    <row r="58" spans="1:4" x14ac:dyDescent="0.25">
      <c r="A58" s="2">
        <f>'NTC PAW-A2W-TSOD'!F58*$F$2/('NTC PAW-A2W-TSOD'!F58+$F$2)</f>
        <v>8453.9016521167941</v>
      </c>
      <c r="B58" s="2">
        <f>'NTC PAW-A2W-TSOD'!G58</f>
        <v>16.000000000000284</v>
      </c>
      <c r="C58" s="40">
        <f>1/('NTC PAW-A2W-TSOD'!$J$12+'NTC PAW-A2W-TSOD'!$J$13*LN(A58)+'NTC PAW-A2W-TSOD'!$J$14*(LN(A58))^3)-273.15</f>
        <v>18.79182366018324</v>
      </c>
      <c r="D58" s="40">
        <f t="shared" si="1"/>
        <v>2.7918236601829562</v>
      </c>
    </row>
    <row r="59" spans="1:4" x14ac:dyDescent="0.25">
      <c r="A59" s="2">
        <f>'NTC PAW-A2W-TSOD'!F59*$F$2/('NTC PAW-A2W-TSOD'!F59+$F$2)</f>
        <v>8136.2948498966507</v>
      </c>
      <c r="B59" s="2">
        <f>'NTC PAW-A2W-TSOD'!G59</f>
        <v>16.999999999999659</v>
      </c>
      <c r="C59" s="40">
        <f>1/('NTC PAW-A2W-TSOD'!$J$12+'NTC PAW-A2W-TSOD'!$J$13*LN(A59)+'NTC PAW-A2W-TSOD'!$J$14*(LN(A59))^3)-273.15</f>
        <v>19.695148745625431</v>
      </c>
      <c r="D59" s="40">
        <f t="shared" si="1"/>
        <v>2.6951487456257723</v>
      </c>
    </row>
    <row r="60" spans="1:4" x14ac:dyDescent="0.25">
      <c r="A60" s="2">
        <f>'NTC PAW-A2W-TSOD'!F60*$F$2/('NTC PAW-A2W-TSOD'!F60+$F$2)</f>
        <v>7830.9232635569315</v>
      </c>
      <c r="B60" s="2">
        <f>'NTC PAW-A2W-TSOD'!G60</f>
        <v>18.000000000000227</v>
      </c>
      <c r="C60" s="40">
        <f>1/('NTC PAW-A2W-TSOD'!$J$12+'NTC PAW-A2W-TSOD'!$J$13*LN(A60)+'NTC PAW-A2W-TSOD'!$J$14*(LN(A60))^3)-273.15</f>
        <v>20.602176212572601</v>
      </c>
      <c r="D60" s="40">
        <f t="shared" si="1"/>
        <v>2.602176212572374</v>
      </c>
    </row>
    <row r="61" spans="1:4" x14ac:dyDescent="0.25">
      <c r="A61" s="2">
        <f>'NTC PAW-A2W-TSOD'!F61*$F$2/('NTC PAW-A2W-TSOD'!F61+$F$2)</f>
        <v>7537.3582383124785</v>
      </c>
      <c r="B61" s="2">
        <f>'NTC PAW-A2W-TSOD'!G61</f>
        <v>18.999999999999545</v>
      </c>
      <c r="C61" s="40">
        <f>1/('NTC PAW-A2W-TSOD'!$J$12+'NTC PAW-A2W-TSOD'!$J$13*LN(A61)+'NTC PAW-A2W-TSOD'!$J$14*(LN(A61))^3)-273.15</f>
        <v>21.512759703594725</v>
      </c>
      <c r="D61" s="40">
        <f t="shared" si="1"/>
        <v>2.5127597035951794</v>
      </c>
    </row>
    <row r="62" spans="1:4" x14ac:dyDescent="0.25">
      <c r="A62" s="2">
        <f>'NTC PAW-A2W-TSOD'!F62*$F$2/('NTC PAW-A2W-TSOD'!F62+$F$2)</f>
        <v>7255.1798829699765</v>
      </c>
      <c r="B62" s="2">
        <f>'NTC PAW-A2W-TSOD'!G62</f>
        <v>20</v>
      </c>
      <c r="C62" s="40">
        <f>1/('NTC PAW-A2W-TSOD'!$J$12+'NTC PAW-A2W-TSOD'!$J$13*LN(A62)+'NTC PAW-A2W-TSOD'!$J$14*(LN(A62))^3)-273.15</f>
        <v>22.426758249269085</v>
      </c>
      <c r="D62" s="40">
        <f t="shared" si="1"/>
        <v>2.4267582492690849</v>
      </c>
    </row>
    <row r="63" spans="1:4" x14ac:dyDescent="0.25">
      <c r="A63" s="2">
        <f>'NTC PAW-A2W-TSOD'!F63*$F$2/('NTC PAW-A2W-TSOD'!F63+$F$2)</f>
        <v>6983.977625352969</v>
      </c>
      <c r="B63" s="2">
        <f>'NTC PAW-A2W-TSOD'!G63</f>
        <v>21.000000000000057</v>
      </c>
      <c r="C63" s="40">
        <f>1/('NTC PAW-A2W-TSOD'!$J$12+'NTC PAW-A2W-TSOD'!$J$13*LN(A63)+'NTC PAW-A2W-TSOD'!$J$14*(LN(A63))^3)-273.15</f>
        <v>23.344036134251894</v>
      </c>
      <c r="D63" s="40">
        <f t="shared" si="1"/>
        <v>2.3440361342518372</v>
      </c>
    </row>
    <row r="64" spans="1:4" x14ac:dyDescent="0.25">
      <c r="A64" s="2">
        <f>'NTC PAW-A2W-TSOD'!F64*$F$2/('NTC PAW-A2W-TSOD'!F64+$F$2)</f>
        <v>6723.3506660086814</v>
      </c>
      <c r="B64" s="2">
        <f>'NTC PAW-A2W-TSOD'!G64</f>
        <v>21.999999999999943</v>
      </c>
      <c r="C64" s="40">
        <f>1/('NTC PAW-A2W-TSOD'!$J$12+'NTC PAW-A2W-TSOD'!$J$13*LN(A64)+'NTC PAW-A2W-TSOD'!$J$14*(LN(A64))^3)-273.15</f>
        <v>24.264462759070568</v>
      </c>
      <c r="D64" s="40">
        <f t="shared" si="1"/>
        <v>2.264462759070625</v>
      </c>
    </row>
    <row r="65" spans="1:4" x14ac:dyDescent="0.25">
      <c r="A65" s="2">
        <f>'NTC PAW-A2W-TSOD'!F65*$F$2/('NTC PAW-A2W-TSOD'!F65+$F$2)</f>
        <v>6472.9083394794434</v>
      </c>
      <c r="B65" s="2">
        <f>'NTC PAW-A2W-TSOD'!G65</f>
        <v>23.000000000000171</v>
      </c>
      <c r="C65" s="40">
        <f>1/('NTC PAW-A2W-TSOD'!$J$12+'NTC PAW-A2W-TSOD'!$J$13*LN(A65)+'NTC PAW-A2W-TSOD'!$J$14*(LN(A65))^3)-273.15</f>
        <v>25.187912498692413</v>
      </c>
      <c r="D65" s="40">
        <f t="shared" si="1"/>
        <v>2.187912498692242</v>
      </c>
    </row>
    <row r="66" spans="1:4" x14ac:dyDescent="0.25">
      <c r="A66" s="2">
        <f>'NTC PAW-A2W-TSOD'!F66*$F$2/('NTC PAW-A2W-TSOD'!F66+$F$2)</f>
        <v>6232.2703919384057</v>
      </c>
      <c r="B66" s="2">
        <f>'NTC PAW-A2W-TSOD'!G66</f>
        <v>24.000000000000227</v>
      </c>
      <c r="C66" s="40">
        <f>1/('NTC PAW-A2W-TSOD'!$J$12+'NTC PAW-A2W-TSOD'!$J$13*LN(A66)+'NTC PAW-A2W-TSOD'!$J$14*(LN(A66))^3)-273.15</f>
        <v>26.114264558845377</v>
      </c>
      <c r="D66" s="40">
        <f t="shared" ref="D66:D97" si="2">C66-B66</f>
        <v>2.1142645588451501</v>
      </c>
    </row>
    <row r="67" spans="1:4" x14ac:dyDescent="0.25">
      <c r="A67" s="2">
        <f>'NTC PAW-A2W-TSOD'!F67*$F$2/('NTC PAW-A2W-TSOD'!F67+$F$2)</f>
        <v>6001.0671834942805</v>
      </c>
      <c r="B67" s="2">
        <f>'NTC PAW-A2W-TSOD'!G67</f>
        <v>24.999999999999773</v>
      </c>
      <c r="C67" s="40">
        <f>1/('NTC PAW-A2W-TSOD'!$J$12+'NTC PAW-A2W-TSOD'!$J$13*LN(A67)+'NTC PAW-A2W-TSOD'!$J$14*(LN(A67))^3)-273.15</f>
        <v>27.043402830958826</v>
      </c>
      <c r="D67" s="40">
        <f t="shared" si="2"/>
        <v>2.0434028309590531</v>
      </c>
    </row>
    <row r="68" spans="1:4" x14ac:dyDescent="0.25">
      <c r="A68" s="2">
        <f>'NTC PAW-A2W-TSOD'!F68*$F$2/('NTC PAW-A2W-TSOD'!F68+$F$2)</f>
        <v>5778.93982296184</v>
      </c>
      <c r="B68" s="2">
        <f>'NTC PAW-A2W-TSOD'!G68</f>
        <v>25.999999999999943</v>
      </c>
      <c r="C68" s="40">
        <f>1/('NTC PAW-A2W-TSOD'!$J$12+'NTC PAW-A2W-TSOD'!$J$13*LN(A68)+'NTC PAW-A2W-TSOD'!$J$14*(LN(A68))^3)-273.15</f>
        <v>27.975215746494598</v>
      </c>
      <c r="D68" s="40">
        <f t="shared" si="2"/>
        <v>1.9752157464946549</v>
      </c>
    </row>
    <row r="69" spans="1:4" x14ac:dyDescent="0.25">
      <c r="A69" s="2">
        <f>'NTC PAW-A2W-TSOD'!F69*$F$2/('NTC PAW-A2W-TSOD'!F69+$F$2)</f>
        <v>5565.5402423819241</v>
      </c>
      <c r="B69" s="2">
        <f>'NTC PAW-A2W-TSOD'!G69</f>
        <v>27.000000000000227</v>
      </c>
      <c r="C69" s="40">
        <f>1/('NTC PAW-A2W-TSOD'!$J$12+'NTC PAW-A2W-TSOD'!$J$13*LN(A69)+'NTC PAW-A2W-TSOD'!$J$14*(LN(A69))^3)-273.15</f>
        <v>28.909596131344642</v>
      </c>
      <c r="D69" s="40">
        <f t="shared" si="2"/>
        <v>1.909596131344415</v>
      </c>
    </row>
    <row r="70" spans="1:4" x14ac:dyDescent="0.25">
      <c r="A70" s="2">
        <f>'NTC PAW-A2W-TSOD'!F70*$F$2/('NTC PAW-A2W-TSOD'!F70+$F$2)</f>
        <v>5360.5312180618184</v>
      </c>
      <c r="B70" s="2">
        <f>'NTC PAW-A2W-TSOD'!G70</f>
        <v>28.000000000000171</v>
      </c>
      <c r="C70" s="40">
        <f>1/('NTC PAW-A2W-TSOD'!$J$12+'NTC PAW-A2W-TSOD'!$J$13*LN(A70)+'NTC PAW-A2W-TSOD'!$J$14*(LN(A70))^3)-273.15</f>
        <v>29.846441060906045</v>
      </c>
      <c r="D70" s="40">
        <f t="shared" si="2"/>
        <v>1.8464410609058746</v>
      </c>
    </row>
    <row r="71" spans="1:4" x14ac:dyDescent="0.25">
      <c r="A71" s="2">
        <f>'NTC PAW-A2W-TSOD'!F71*$F$2/('NTC PAW-A2W-TSOD'!F71+$F$2)</f>
        <v>5163.5863444098659</v>
      </c>
      <c r="B71" s="2">
        <f>'NTC PAW-A2W-TSOD'!G71</f>
        <v>28.999999999999886</v>
      </c>
      <c r="C71" s="40">
        <f>1/('NTC PAW-A2W-TSOD'!$J$12+'NTC PAW-A2W-TSOD'!$J$13*LN(A71)+'NTC PAW-A2W-TSOD'!$J$14*(LN(A71))^3)-273.15</f>
        <v>30.785651716352675</v>
      </c>
      <c r="D71" s="40">
        <f t="shared" si="2"/>
        <v>1.7856517163527883</v>
      </c>
    </row>
    <row r="72" spans="1:4" x14ac:dyDescent="0.25">
      <c r="A72" s="2">
        <f>'NTC PAW-A2W-TSOD'!F72*$F$2/('NTC PAW-A2W-TSOD'!F72+$F$2)</f>
        <v>4974.3899663497568</v>
      </c>
      <c r="B72" s="2">
        <f>'NTC PAW-A2W-TSOD'!G72</f>
        <v>29.999999999999829</v>
      </c>
      <c r="C72" s="40">
        <f>1/('NTC PAW-A2W-TSOD'!$J$12+'NTC PAW-A2W-TSOD'!$J$13*LN(A72)+'NTC PAW-A2W-TSOD'!$J$14*(LN(A72))^3)-273.15</f>
        <v>31.727133242559319</v>
      </c>
      <c r="D72" s="40">
        <f t="shared" si="2"/>
        <v>1.7271332425594892</v>
      </c>
    </row>
    <row r="73" spans="1:4" x14ac:dyDescent="0.25">
      <c r="A73" s="2">
        <f>'NTC PAW-A2W-TSOD'!F73*$F$2/('NTC PAW-A2W-TSOD'!F73+$F$2)</f>
        <v>4792.6370756304113</v>
      </c>
      <c r="B73" s="2">
        <f>'NTC PAW-A2W-TSOD'!G73</f>
        <v>31.000000000000114</v>
      </c>
      <c r="C73" s="40">
        <f>1/('NTC PAW-A2W-TSOD'!$J$12+'NTC PAW-A2W-TSOD'!$J$13*LN(A73)+'NTC PAW-A2W-TSOD'!$J$14*(LN(A73))^3)-273.15</f>
        <v>32.670794608071049</v>
      </c>
      <c r="D73" s="40">
        <f t="shared" si="2"/>
        <v>1.6707946080709348</v>
      </c>
    </row>
    <row r="74" spans="1:4" x14ac:dyDescent="0.25">
      <c r="A74" s="2">
        <f>'NTC PAW-A2W-TSOD'!F74*$F$2/('NTC PAW-A2W-TSOD'!F74+$F$2)</f>
        <v>4618.0331758981465</v>
      </c>
      <c r="B74" s="2">
        <f>'NTC PAW-A2W-TSOD'!G74</f>
        <v>31.999999999999829</v>
      </c>
      <c r="C74" s="40">
        <f>1/('NTC PAW-A2W-TSOD'!$J$12+'NTC PAW-A2W-TSOD'!$J$13*LN(A74)+'NTC PAW-A2W-TSOD'!$J$14*(LN(A74))^3)-273.15</f>
        <v>33.616548467453697</v>
      </c>
      <c r="D74" s="40">
        <f t="shared" si="2"/>
        <v>1.6165484674538675</v>
      </c>
    </row>
    <row r="75" spans="1:4" x14ac:dyDescent="0.25">
      <c r="A75" s="2">
        <f>'NTC PAW-A2W-TSOD'!F75*$F$2/('NTC PAW-A2W-TSOD'!F75+$F$2)</f>
        <v>4450.2941209697919</v>
      </c>
      <c r="B75" s="2">
        <f>'NTC PAW-A2W-TSOD'!G75</f>
        <v>33.000000000000227</v>
      </c>
      <c r="C75" s="40">
        <f>1/('NTC PAW-A2W-TSOD'!$J$12+'NTC PAW-A2W-TSOD'!$J$13*LN(A75)+'NTC PAW-A2W-TSOD'!$J$14*(LN(A75))^3)-273.15</f>
        <v>34.564311026311088</v>
      </c>
      <c r="D75" s="40">
        <f t="shared" si="2"/>
        <v>1.5643110263108611</v>
      </c>
    </row>
    <row r="76" spans="1:4" x14ac:dyDescent="0.25">
      <c r="A76" s="2">
        <f>'NTC PAW-A2W-TSOD'!F76*$F$2/('NTC PAW-A2W-TSOD'!F76+$F$2)</f>
        <v>4289.1459303440615</v>
      </c>
      <c r="B76" s="2">
        <f>'NTC PAW-A2W-TSOD'!G76</f>
        <v>34.000000000000114</v>
      </c>
      <c r="C76" s="40">
        <f>1/('NTC PAW-A2W-TSOD'!$J$12+'NTC PAW-A2W-TSOD'!$J$13*LN(A76)+'NTC PAW-A2W-TSOD'!$J$14*(LN(A76))^3)-273.15</f>
        <v>35.514001909191563</v>
      </c>
      <c r="D76" s="40">
        <f t="shared" si="2"/>
        <v>1.5140019091914496</v>
      </c>
    </row>
    <row r="77" spans="1:4" x14ac:dyDescent="0.25">
      <c r="A77" s="2">
        <f>'NTC PAW-A2W-TSOD'!F77*$F$2/('NTC PAW-A2W-TSOD'!F77+$F$2)</f>
        <v>4134.3245856031772</v>
      </c>
      <c r="B77" s="2">
        <f>'NTC PAW-A2W-TSOD'!G77</f>
        <v>34.999999999999886</v>
      </c>
      <c r="C77" s="40">
        <f>1/('NTC PAW-A2W-TSOD'!$J$12+'NTC PAW-A2W-TSOD'!$J$13*LN(A77)+'NTC PAW-A2W-TSOD'!$J$14*(LN(A77))^3)-273.15</f>
        <v>36.465544030593833</v>
      </c>
      <c r="D77" s="40">
        <f t="shared" si="2"/>
        <v>1.4655440305939464</v>
      </c>
    </row>
    <row r="78" spans="1:4" x14ac:dyDescent="0.25">
      <c r="A78" s="2">
        <f>'NTC PAW-A2W-TSOD'!F78*$F$2/('NTC PAW-A2W-TSOD'!F78+$F$2)</f>
        <v>3985.5758110064198</v>
      </c>
      <c r="B78" s="2">
        <f>'NTC PAW-A2W-TSOD'!G78</f>
        <v>36.000000000000057</v>
      </c>
      <c r="C78" s="40">
        <f>1/('NTC PAW-A2W-TSOD'!$J$12+'NTC PAW-A2W-TSOD'!$J$13*LN(A78)+'NTC PAW-A2W-TSOD'!$J$14*(LN(A78))^3)-273.15</f>
        <v>37.418863469211658</v>
      </c>
      <c r="D78" s="40">
        <f t="shared" si="2"/>
        <v>1.4188634692116011</v>
      </c>
    </row>
    <row r="79" spans="1:4" x14ac:dyDescent="0.25">
      <c r="A79" s="2">
        <f>'NTC PAW-A2W-TSOD'!F79*$F$2/('NTC PAW-A2W-TSOD'!F79+$F$2)</f>
        <v>3842.6548412419402</v>
      </c>
      <c r="B79" s="2">
        <f>'NTC PAW-A2W-TSOD'!G79</f>
        <v>37.000000000000114</v>
      </c>
      <c r="C79" s="40">
        <f>1/('NTC PAW-A2W-TSOD'!$J$12+'NTC PAW-A2W-TSOD'!$J$13*LN(A79)+'NTC PAW-A2W-TSOD'!$J$14*(LN(A79))^3)-273.15</f>
        <v>38.373889345541272</v>
      </c>
      <c r="D79" s="40">
        <f t="shared" si="2"/>
        <v>1.3738893455411585</v>
      </c>
    </row>
    <row r="80" spans="1:4" x14ac:dyDescent="0.25">
      <c r="A80" s="2">
        <f>'NTC PAW-A2W-TSOD'!F80*$F$2/('NTC PAW-A2W-TSOD'!F80+$F$2)</f>
        <v>3705.3261789956246</v>
      </c>
      <c r="B80" s="2">
        <f>'NTC PAW-A2W-TSOD'!G80</f>
        <v>38.000000000000114</v>
      </c>
      <c r="C80" s="40">
        <f>1/('NTC PAW-A2W-TSOD'!$J$12+'NTC PAW-A2W-TSOD'!$J$13*LN(A80)+'NTC PAW-A2W-TSOD'!$J$14*(LN(A80))^3)-273.15</f>
        <v>39.330553702944314</v>
      </c>
      <c r="D80" s="40">
        <f t="shared" si="2"/>
        <v>1.3305537029442007</v>
      </c>
    </row>
    <row r="81" spans="1:4" x14ac:dyDescent="0.25">
      <c r="A81" s="2">
        <f>'NTC PAW-A2W-TSOD'!F81*$F$2/('NTC PAW-A2W-TSOD'!F81+$F$2)</f>
        <v>3573.3633447123239</v>
      </c>
      <c r="B81" s="2">
        <f>'NTC PAW-A2W-TSOD'!G81</f>
        <v>38.999999999999716</v>
      </c>
      <c r="C81" s="40">
        <f>1/('NTC PAW-A2W-TSOD'!$J$12+'NTC PAW-A2W-TSOD'!$J$13*LN(A81)+'NTC PAW-A2W-TSOD'!$J$14*(LN(A81))^3)-273.15</f>
        <v>40.288791392223402</v>
      </c>
      <c r="D81" s="40">
        <f t="shared" si="2"/>
        <v>1.2887913922236862</v>
      </c>
    </row>
    <row r="82" spans="1:4" x14ac:dyDescent="0.25">
      <c r="A82" s="2">
        <f>'NTC PAW-A2W-TSOD'!F82*$F$2/('NTC PAW-A2W-TSOD'!F82+$F$2)</f>
        <v>3446.5486206603646</v>
      </c>
      <c r="B82" s="2">
        <f>'NTC PAW-A2W-TSOD'!G82</f>
        <v>40.000000000000114</v>
      </c>
      <c r="C82" s="40">
        <f>1/('NTC PAW-A2W-TSOD'!$J$12+'NTC PAW-A2W-TSOD'!$J$13*LN(A82)+'NTC PAW-A2W-TSOD'!$J$14*(LN(A82))^3)-273.15</f>
        <v>41.248539959751838</v>
      </c>
      <c r="D82" s="40">
        <f t="shared" si="2"/>
        <v>1.2485399597517244</v>
      </c>
    </row>
    <row r="83" spans="1:4" x14ac:dyDescent="0.25">
      <c r="A83" s="2">
        <f>'NTC PAW-A2W-TSOD'!F83*$F$2/('NTC PAW-A2W-TSOD'!F83+$F$2)</f>
        <v>3324.6727911709722</v>
      </c>
      <c r="B83" s="2">
        <f>'NTC PAW-A2W-TSOD'!G83</f>
        <v>41.000000000000057</v>
      </c>
      <c r="C83" s="40">
        <f>1/('NTC PAW-A2W-TSOD'!$J$12+'NTC PAW-A2W-TSOD'!$J$13*LN(A83)+'NTC PAW-A2W-TSOD'!$J$14*(LN(A83))^3)-273.15</f>
        <v>42.209739539167288</v>
      </c>
      <c r="D83" s="40">
        <f t="shared" si="2"/>
        <v>1.2097395391672308</v>
      </c>
    </row>
    <row r="84" spans="1:4" x14ac:dyDescent="0.25">
      <c r="A84" s="2">
        <f>'NTC PAW-A2W-TSOD'!F84*$F$2/('NTC PAW-A2W-TSOD'!F84+$F$2)</f>
        <v>3207.5348807002229</v>
      </c>
      <c r="B84" s="2">
        <f>'NTC PAW-A2W-TSOD'!G84</f>
        <v>42.000000000000398</v>
      </c>
      <c r="C84" s="40">
        <f>1/('NTC PAW-A2W-TSOD'!$J$12+'NTC PAW-A2W-TSOD'!$J$13*LN(A84)+'NTC PAW-A2W-TSOD'!$J$14*(LN(A84))^3)-273.15</f>
        <v>43.172332746642041</v>
      </c>
      <c r="D84" s="40">
        <f t="shared" si="2"/>
        <v>1.1723327466416436</v>
      </c>
    </row>
    <row r="85" spans="1:4" x14ac:dyDescent="0.25">
      <c r="A85" s="2">
        <f>'NTC PAW-A2W-TSOD'!F85*$F$2/('NTC PAW-A2W-TSOD'!F85+$F$2)</f>
        <v>3094.9418911636549</v>
      </c>
      <c r="B85" s="2">
        <f>'NTC PAW-A2W-TSOD'!G85</f>
        <v>42.999999999999773</v>
      </c>
      <c r="C85" s="40">
        <f>1/('NTC PAW-A2W-TSOD'!$J$12+'NTC PAW-A2W-TSOD'!$J$13*LN(A85)+'NTC PAW-A2W-TSOD'!$J$14*(LN(A85))^3)-273.15</f>
        <v>44.136264579694</v>
      </c>
      <c r="D85" s="40">
        <f t="shared" si="2"/>
        <v>1.1362645796942275</v>
      </c>
    </row>
    <row r="86" spans="1:4" x14ac:dyDescent="0.25">
      <c r="A86" s="2">
        <f>'NTC PAW-A2W-TSOD'!F86*$F$2/('NTC PAW-A2W-TSOD'!F86+$F$2)</f>
        <v>2986.70853980529</v>
      </c>
      <c r="B86" s="2">
        <f>'NTC PAW-A2W-TSOD'!G86</f>
        <v>44.000000000000057</v>
      </c>
      <c r="C86" s="40">
        <f>1/('NTC PAW-A2W-TSOD'!$J$12+'NTC PAW-A2W-TSOD'!$J$13*LN(A86)+'NTC PAW-A2W-TSOD'!$J$14*(LN(A86))^3)-273.15</f>
        <v>45.101482319527804</v>
      </c>
      <c r="D86" s="40">
        <f t="shared" si="2"/>
        <v>1.1014823195277472</v>
      </c>
    </row>
    <row r="87" spans="1:4" x14ac:dyDescent="0.25">
      <c r="A87" s="2">
        <f>'NTC PAW-A2W-TSOD'!F87*$F$2/('NTC PAW-A2W-TSOD'!F87+$F$2)</f>
        <v>2882.6569987011449</v>
      </c>
      <c r="B87" s="2">
        <f>'NTC PAW-A2W-TSOD'!G87</f>
        <v>45.000000000000114</v>
      </c>
      <c r="C87" s="40">
        <f>1/('NTC PAW-A2W-TSOD'!$J$12+'NTC PAW-A2W-TSOD'!$J$13*LN(A87)+'NTC PAW-A2W-TSOD'!$J$14*(LN(A87))^3)-273.15</f>
        <v>46.067935436838923</v>
      </c>
      <c r="D87" s="40">
        <f t="shared" si="2"/>
        <v>1.067935436838809</v>
      </c>
    </row>
    <row r="88" spans="1:4" x14ac:dyDescent="0.25">
      <c r="A88" s="2">
        <f>'NTC PAW-A2W-TSOD'!F88*$F$2/('NTC PAW-A2W-TSOD'!F88+$F$2)</f>
        <v>2782.6166368412155</v>
      </c>
      <c r="B88" s="2">
        <f>'NTC PAW-A2W-TSOD'!G88</f>
        <v>46.000000000000114</v>
      </c>
      <c r="C88" s="40">
        <f>1/('NTC PAW-A2W-TSOD'!$J$12+'NTC PAW-A2W-TSOD'!$J$13*LN(A88)+'NTC PAW-A2W-TSOD'!$J$14*(LN(A88))^3)-273.15</f>
        <v>47.03557550105279</v>
      </c>
      <c r="D88" s="40">
        <f t="shared" si="2"/>
        <v>1.0355755010526764</v>
      </c>
    </row>
    <row r="89" spans="1:4" x14ac:dyDescent="0.25">
      <c r="A89" s="2">
        <f>'NTC PAW-A2W-TSOD'!F89*$F$2/('NTC PAW-A2W-TSOD'!F89+$F$2)</f>
        <v>2686.4237656022779</v>
      </c>
      <c r="B89" s="2">
        <f>'NTC PAW-A2W-TSOD'!G89</f>
        <v>47</v>
      </c>
      <c r="C89" s="40">
        <f>1/('NTC PAW-A2W-TSOD'!$J$12+'NTC PAW-A2W-TSOD'!$J$13*LN(A89)+'NTC PAW-A2W-TSOD'!$J$14*(LN(A89))^3)-273.15</f>
        <v>48.004356092917192</v>
      </c>
      <c r="D89" s="40">
        <f t="shared" si="2"/>
        <v>1.0043560929171917</v>
      </c>
    </row>
    <row r="90" spans="1:4" x14ac:dyDescent="0.25">
      <c r="A90" s="2">
        <f>'NTC PAW-A2W-TSOD'!F90*$F$2/('NTC PAW-A2W-TSOD'!F90+$F$2)</f>
        <v>2593.9213882983781</v>
      </c>
      <c r="B90" s="2">
        <f>'NTC PAW-A2W-TSOD'!G90</f>
        <v>47.999999999999545</v>
      </c>
      <c r="C90" s="40">
        <f>1/('NTC PAW-A2W-TSOD'!$J$12+'NTC PAW-A2W-TSOD'!$J$13*LN(A90)+'NTC PAW-A2W-TSOD'!$J$14*(LN(A90))^3)-273.15</f>
        <v>48.974232720390773</v>
      </c>
      <c r="D90" s="40">
        <f t="shared" si="2"/>
        <v>0.97423272039122821</v>
      </c>
    </row>
    <row r="91" spans="1:4" x14ac:dyDescent="0.25">
      <c r="A91" s="2">
        <f>'NTC PAW-A2W-TSOD'!F91*$F$2/('NTC PAW-A2W-TSOD'!F91+$F$2)</f>
        <v>2504.9589543868728</v>
      </c>
      <c r="B91" s="2">
        <f>'NTC PAW-A2W-TSOD'!G91</f>
        <v>48.999999999999602</v>
      </c>
      <c r="C91" s="40">
        <f>1/('NTC PAW-A2W-TSOD'!$J$12+'NTC PAW-A2W-TSOD'!$J$13*LN(A91)+'NTC PAW-A2W-TSOD'!$J$14*(LN(A91))^3)-273.15</f>
        <v>49.945162737749115</v>
      </c>
      <c r="D91" s="40">
        <f t="shared" si="2"/>
        <v>0.94516273774951287</v>
      </c>
    </row>
    <row r="92" spans="1:4" x14ac:dyDescent="0.25">
      <c r="A92" s="2">
        <f>'NTC PAW-A2W-TSOD'!F92*$F$2/('NTC PAW-A2W-TSOD'!F92+$F$2)</f>
        <v>2419.3921188097124</v>
      </c>
      <c r="B92" s="2">
        <f>'NTC PAW-A2W-TSOD'!G92</f>
        <v>49.999999999999943</v>
      </c>
      <c r="C92" s="40">
        <f>1/('NTC PAW-A2W-TSOD'!$J$12+'NTC PAW-A2W-TSOD'!$J$13*LN(A92)+'NTC PAW-A2W-TSOD'!$J$14*(LN(A92))^3)-273.15</f>
        <v>50.917105267826344</v>
      </c>
      <c r="D92" s="40">
        <f t="shared" si="2"/>
        <v>0.91710526782640045</v>
      </c>
    </row>
    <row r="93" spans="1:4" x14ac:dyDescent="0.25">
      <c r="A93" s="2">
        <f>'NTC PAW-A2W-TSOD'!F93*$F$2/('NTC PAW-A2W-TSOD'!F93+$F$2)</f>
        <v>2337.082506860746</v>
      </c>
      <c r="B93" s="2">
        <f>'NTC PAW-A2W-TSOD'!G93</f>
        <v>51.000000000000284</v>
      </c>
      <c r="C93" s="40">
        <f>1/('NTC PAW-A2W-TSOD'!$J$12+'NTC PAW-A2W-TSOD'!$J$13*LN(A93)+'NTC PAW-A2W-TSOD'!$J$14*(LN(A93))^3)-273.15</f>
        <v>51.890021127316572</v>
      </c>
      <c r="D93" s="40">
        <f t="shared" si="2"/>
        <v>0.89002112731628813</v>
      </c>
    </row>
    <row r="94" spans="1:4" x14ac:dyDescent="0.25">
      <c r="A94" s="2">
        <f>'NTC PAW-A2W-TSOD'!F94*$F$2/('NTC PAW-A2W-TSOD'!F94+$F$2)</f>
        <v>2257.8974848926141</v>
      </c>
      <c r="B94" s="2">
        <f>'NTC PAW-A2W-TSOD'!G94</f>
        <v>51.999999999999432</v>
      </c>
      <c r="C94" s="40">
        <f>1/('NTC PAW-A2W-TSOD'!$J$12+'NTC PAW-A2W-TSOD'!$J$13*LN(A94)+'NTC PAW-A2W-TSOD'!$J$14*(LN(A94))^3)-273.15</f>
        <v>52.863872755042621</v>
      </c>
      <c r="D94" s="40">
        <f t="shared" si="2"/>
        <v>0.8638727550431895</v>
      </c>
    </row>
    <row r="95" spans="1:4" x14ac:dyDescent="0.25">
      <c r="A95" s="2">
        <f>'NTC PAW-A2W-TSOD'!F95*$F$2/('NTC PAW-A2W-TSOD'!F95+$F$2)</f>
        <v>2181.7099371065501</v>
      </c>
      <c r="B95" s="2">
        <f>'NTC PAW-A2W-TSOD'!G95</f>
        <v>52.999999999999829</v>
      </c>
      <c r="C95" s="40">
        <f>1/('NTC PAW-A2W-TSOD'!$J$12+'NTC PAW-A2W-TSOD'!$J$13*LN(A95)+'NTC PAW-A2W-TSOD'!$J$14*(LN(A95))^3)-273.15</f>
        <v>53.838624143113009</v>
      </c>
      <c r="D95" s="40">
        <f t="shared" si="2"/>
        <v>0.83862414311317934</v>
      </c>
    </row>
    <row r="96" spans="1:4" x14ac:dyDescent="0.25">
      <c r="A96" s="2">
        <f>'NTC PAW-A2W-TSOD'!F96*$F$2/('NTC PAW-A2W-TSOD'!F96+$F$2)</f>
        <v>2108.3980486088785</v>
      </c>
      <c r="B96" s="2">
        <f>'NTC PAW-A2W-TSOD'!G96</f>
        <v>53.999999999999602</v>
      </c>
      <c r="C96" s="40">
        <f>1/('NTC PAW-A2W-TSOD'!$J$12+'NTC PAW-A2W-TSOD'!$J$13*LN(A96)+'NTC PAW-A2W-TSOD'!$J$14*(LN(A96))^3)-273.15</f>
        <v>54.81424077086092</v>
      </c>
      <c r="D96" s="40">
        <f t="shared" si="2"/>
        <v>0.81424077086131774</v>
      </c>
    </row>
    <row r="97" spans="1:4" x14ac:dyDescent="0.25">
      <c r="A97" s="2">
        <f>'NTC PAW-A2W-TSOD'!F97*$F$2/('NTC PAW-A2W-TSOD'!F97+$F$2)</f>
        <v>2037.8450948607428</v>
      </c>
      <c r="B97" s="2">
        <f>'NTC PAW-A2W-TSOD'!G97</f>
        <v>55.000000000000114</v>
      </c>
      <c r="C97" s="40">
        <f>1/('NTC PAW-A2W-TSOD'!$J$12+'NTC PAW-A2W-TSOD'!$J$13*LN(A97)+'NTC PAW-A2W-TSOD'!$J$14*(LN(A97))^3)-273.15</f>
        <v>55.790689541501422</v>
      </c>
      <c r="D97" s="40">
        <f t="shared" si="2"/>
        <v>0.79068954150130821</v>
      </c>
    </row>
    <row r="98" spans="1:4" x14ac:dyDescent="0.25">
      <c r="A98" s="2">
        <f>'NTC PAW-A2W-TSOD'!F98*$F$2/('NTC PAW-A2W-TSOD'!F98+$F$2)</f>
        <v>1969.939237604289</v>
      </c>
      <c r="B98" s="2">
        <f>'NTC PAW-A2W-TSOD'!G98</f>
        <v>55.999999999999773</v>
      </c>
      <c r="C98" s="40">
        <f>1/('NTC PAW-A2W-TSOD'!$J$12+'NTC PAW-A2W-TSOD'!$J$13*LN(A98)+'NTC PAW-A2W-TSOD'!$J$14*(LN(A98))^3)-273.15</f>
        <v>56.767938721391033</v>
      </c>
      <c r="D98" s="40">
        <f t="shared" ref="D98:D129" si="3">C98-B98</f>
        <v>0.76793872139126051</v>
      </c>
    </row>
    <row r="99" spans="1:4" x14ac:dyDescent="0.25">
      <c r="A99" s="2">
        <f>'NTC PAW-A2W-TSOD'!F99*$F$2/('NTC PAW-A2W-TSOD'!F99+$F$2)</f>
        <v>1904.5733273034114</v>
      </c>
      <c r="B99" s="2">
        <f>'NTC PAW-A2W-TSOD'!G99</f>
        <v>56.999999999999829</v>
      </c>
      <c r="C99" s="40">
        <f>1/('NTC PAW-A2W-TSOD'!$J$12+'NTC PAW-A2W-TSOD'!$J$13*LN(A99)+'NTC PAW-A2W-TSOD'!$J$14*(LN(A99))^3)-273.15</f>
        <v>57.745957881823074</v>
      </c>
      <c r="D99" s="40">
        <f t="shared" si="3"/>
        <v>0.74595788182324441</v>
      </c>
    </row>
    <row r="100" spans="1:4" x14ac:dyDescent="0.25">
      <c r="A100" s="2">
        <f>'NTC PAW-A2W-TSOD'!F100*$F$2/('NTC PAW-A2W-TSOD'!F100+$F$2)</f>
        <v>1841.6447121044291</v>
      </c>
      <c r="B100" s="2">
        <f>'NTC PAW-A2W-TSOD'!G100</f>
        <v>57.999999999999602</v>
      </c>
      <c r="C100" s="40">
        <f>1/('NTC PAW-A2W-TSOD'!$J$12+'NTC PAW-A2W-TSOD'!$J$13*LN(A100)+'NTC PAW-A2W-TSOD'!$J$14*(LN(A100))^3)-273.15</f>
        <v>58.724717843248754</v>
      </c>
      <c r="D100" s="40">
        <f t="shared" si="3"/>
        <v>0.72471784324915234</v>
      </c>
    </row>
    <row r="101" spans="1:4" x14ac:dyDescent="0.25">
      <c r="A101" s="2">
        <f>'NTC PAW-A2W-TSOD'!F101*$F$2/('NTC PAW-A2W-TSOD'!F101+$F$2)</f>
        <v>1781.055053288216</v>
      </c>
      <c r="B101" s="2">
        <f>'NTC PAW-A2W-TSOD'!G101</f>
        <v>59.000000000000455</v>
      </c>
      <c r="C101" s="40">
        <f>1/('NTC PAW-A2W-TSOD'!$J$12+'NTC PAW-A2W-TSOD'!$J$13*LN(A101)+'NTC PAW-A2W-TSOD'!$J$14*(LN(A101))^3)-273.15</f>
        <v>59.704190621856128</v>
      </c>
      <c r="D101" s="40">
        <f t="shared" si="3"/>
        <v>0.70419062185567327</v>
      </c>
    </row>
    <row r="102" spans="1:4" x14ac:dyDescent="0.25">
      <c r="A102" s="2">
        <f>'NTC PAW-A2W-TSOD'!F102*$F$2/('NTC PAW-A2W-TSOD'!F102+$F$2)</f>
        <v>1722.7101471609542</v>
      </c>
      <c r="B102" s="2">
        <f>'NTC PAW-A2W-TSOD'!G102</f>
        <v>60.000000000000455</v>
      </c>
      <c r="C102" s="40">
        <f>1/('NTC PAW-A2W-TSOD'!$J$12+'NTC PAW-A2W-TSOD'!$J$13*LN(A102)+'NTC PAW-A2W-TSOD'!$J$14*(LN(A102))^3)-273.15</f>
        <v>60.684349378401407</v>
      </c>
      <c r="D102" s="40">
        <f t="shared" si="3"/>
        <v>0.68434937840095245</v>
      </c>
    </row>
    <row r="103" spans="1:4" x14ac:dyDescent="0.25">
      <c r="A103" s="2">
        <f>'NTC PAW-A2W-TSOD'!F103*$F$2/('NTC PAW-A2W-TSOD'!F103+$F$2)</f>
        <v>1666.5197533056371</v>
      </c>
      <c r="B103" s="2">
        <f>'NTC PAW-A2W-TSOD'!G103</f>
        <v>61.000000000000284</v>
      </c>
      <c r="C103" s="40">
        <f>1/('NTC PAW-A2W-TSOD'!$J$12+'NTC PAW-A2W-TSOD'!$J$13*LN(A103)+'NTC PAW-A2W-TSOD'!$J$14*(LN(A103))^3)-273.15</f>
        <v>61.665168369227501</v>
      </c>
      <c r="D103" s="40">
        <f t="shared" si="3"/>
        <v>0.66516836922721723</v>
      </c>
    </row>
    <row r="104" spans="1:4" x14ac:dyDescent="0.25">
      <c r="A104" s="2">
        <f>'NTC PAW-A2W-TSOD'!F104*$F$2/('NTC PAW-A2W-TSOD'!F104+$F$2)</f>
        <v>1612.397429099387</v>
      </c>
      <c r="B104" s="2">
        <f>'NTC PAW-A2W-TSOD'!G104</f>
        <v>61.999999999999773</v>
      </c>
      <c r="C104" s="40">
        <f>1/('NTC PAW-A2W-TSOD'!$J$12+'NTC PAW-A2W-TSOD'!$J$13*LN(A104)+'NTC PAW-A2W-TSOD'!$J$14*(LN(A104))^3)-273.15</f>
        <v>62.646622899368936</v>
      </c>
      <c r="D104" s="40">
        <f t="shared" si="3"/>
        <v>0.64662289936916295</v>
      </c>
    </row>
    <row r="105" spans="1:4" x14ac:dyDescent="0.25">
      <c r="A105" s="2">
        <f>'NTC PAW-A2W-TSOD'!F105*$F$2/('NTC PAW-A2W-TSOD'!F105+$F$2)</f>
        <v>1560.2603703835707</v>
      </c>
      <c r="B105" s="2">
        <f>'NTC PAW-A2W-TSOD'!G105</f>
        <v>62.999999999999829</v>
      </c>
      <c r="C105" s="40">
        <f>1/('NTC PAW-A2W-TSOD'!$J$12+'NTC PAW-A2W-TSOD'!$J$13*LN(A105)+'NTC PAW-A2W-TSOD'!$J$14*(LN(A105))^3)-273.15</f>
        <v>63.628689277672834</v>
      </c>
      <c r="D105" s="40">
        <f t="shared" si="3"/>
        <v>0.6286892776730042</v>
      </c>
    </row>
    <row r="106" spans="1:4" x14ac:dyDescent="0.25">
      <c r="A106" s="2">
        <f>'NTC PAW-A2W-TSOD'!F106*$F$2/('NTC PAW-A2W-TSOD'!F106+$F$2)</f>
        <v>1510.0292581616141</v>
      </c>
      <c r="B106" s="2">
        <f>'NTC PAW-A2W-TSOD'!G106</f>
        <v>64.000000000000171</v>
      </c>
      <c r="C106" s="40">
        <f>1/('NTC PAW-A2W-TSOD'!$J$12+'NTC PAW-A2W-TSOD'!$J$13*LN(A106)+'NTC PAW-A2W-TSOD'!$J$14*(LN(A106))^3)-273.15</f>
        <v>64.61134477384968</v>
      </c>
      <c r="D106" s="40">
        <f t="shared" si="3"/>
        <v>0.61134477384950969</v>
      </c>
    </row>
    <row r="107" spans="1:4" x14ac:dyDescent="0.25">
      <c r="A107" s="2">
        <f>'NTC PAW-A2W-TSOD'!F107*$F$2/('NTC PAW-A2W-TSOD'!F107+$F$2)</f>
        <v>1461.6281111874744</v>
      </c>
      <c r="B107" s="2">
        <f>'NTC PAW-A2W-TSOD'!G107</f>
        <v>65.000000000000398</v>
      </c>
      <c r="C107" s="40">
        <f>1/('NTC PAW-A2W-TSOD'!$J$12+'NTC PAW-A2W-TSOD'!$J$13*LN(A107)+'NTC PAW-A2W-TSOD'!$J$14*(LN(A107))^3)-273.15</f>
        <v>65.594567577382861</v>
      </c>
      <c r="D107" s="40">
        <f t="shared" si="3"/>
        <v>0.59456757738246324</v>
      </c>
    </row>
    <row r="108" spans="1:4" x14ac:dyDescent="0.25">
      <c r="A108" s="2">
        <f>'NTC PAW-A2W-TSOD'!F108*$F$2/('NTC PAW-A2W-TSOD'!F108+$F$2)</f>
        <v>1414.9841442997028</v>
      </c>
      <c r="B108" s="2">
        <f>'NTC PAW-A2W-TSOD'!G108</f>
        <v>66.000000000000398</v>
      </c>
      <c r="C108" s="40">
        <f>1/('NTC PAW-A2W-TSOD'!$J$12+'NTC PAW-A2W-TSOD'!$J$13*LN(A108)+'NTC PAW-A2W-TSOD'!$J$14*(LN(A108))^3)-273.15</f>
        <v>66.578336758218029</v>
      </c>
      <c r="D108" s="40">
        <f t="shared" si="3"/>
        <v>0.57833675821763109</v>
      </c>
    </row>
    <row r="109" spans="1:4" x14ac:dyDescent="0.25">
      <c r="A109" s="2">
        <f>'NTC PAW-A2W-TSOD'!F109*$F$2/('NTC PAW-A2W-TSOD'!F109+$F$2)</f>
        <v>1370.0276323488374</v>
      </c>
      <c r="B109" s="2">
        <f>'NTC PAW-A2W-TSOD'!G109</f>
        <v>66.999999999999773</v>
      </c>
      <c r="C109" s="40">
        <f>1/('NTC PAW-A2W-TSOD'!$J$12+'NTC PAW-A2W-TSOD'!$J$13*LN(A109)+'NTC PAW-A2W-TSOD'!$J$14*(LN(A109))^3)-273.15</f>
        <v>67.562632229160727</v>
      </c>
      <c r="D109" s="40">
        <f t="shared" si="3"/>
        <v>0.56263222916095401</v>
      </c>
    </row>
    <row r="110" spans="1:4" x14ac:dyDescent="0.25">
      <c r="A110" s="2">
        <f>'NTC PAW-A2W-TSOD'!F110*$F$2/('NTC PAW-A2W-TSOD'!F110+$F$2)</f>
        <v>1326.691779560698</v>
      </c>
      <c r="B110" s="2">
        <f>'NTC PAW-A2W-TSOD'!G110</f>
        <v>67.999999999999886</v>
      </c>
      <c r="C110" s="40">
        <f>1/('NTC PAW-A2W-TSOD'!$J$12+'NTC PAW-A2W-TSOD'!$J$13*LN(A110)+'NTC PAW-A2W-TSOD'!$J$14*(LN(A110))^3)-273.15</f>
        <v>68.54743470991184</v>
      </c>
      <c r="D110" s="40">
        <f t="shared" si="3"/>
        <v>0.54743470991195409</v>
      </c>
    </row>
    <row r="111" spans="1:4" x14ac:dyDescent="0.25">
      <c r="A111" s="2">
        <f>'NTC PAW-A2W-TSOD'!F111*$F$2/('NTC PAW-A2W-TSOD'!F111+$F$2)</f>
        <v>1284.9125941748212</v>
      </c>
      <c r="B111" s="2">
        <f>'NTC PAW-A2W-TSOD'!G111</f>
        <v>68.999999999999773</v>
      </c>
      <c r="C111" s="40">
        <f>1/('NTC PAW-A2W-TSOD'!$J$12+'NTC PAW-A2W-TSOD'!$J$13*LN(A111)+'NTC PAW-A2W-TSOD'!$J$14*(LN(A111))^3)-273.15</f>
        <v>69.532725692668407</v>
      </c>
      <c r="D111" s="40">
        <f t="shared" si="3"/>
        <v>0.53272569266863457</v>
      </c>
    </row>
    <row r="112" spans="1:4" x14ac:dyDescent="0.25">
      <c r="A112" s="2">
        <f>'NTC PAW-A2W-TSOD'!F112*$F$2/('NTC PAW-A2W-TSOD'!F112+$F$2)</f>
        <v>1244.6287681941501</v>
      </c>
      <c r="B112" s="2">
        <f>'NTC PAW-A2W-TSOD'!G112</f>
        <v>70</v>
      </c>
      <c r="C112" s="40">
        <f>1/('NTC PAW-A2W-TSOD'!$J$12+'NTC PAW-A2W-TSOD'!$J$13*LN(A112)+'NTC PAW-A2W-TSOD'!$J$14*(LN(A112))^3)-273.15</f>
        <v>70.518487409233501</v>
      </c>
      <c r="D112" s="40">
        <f t="shared" si="3"/>
        <v>0.51848740923350078</v>
      </c>
    </row>
    <row r="113" spans="1:4" x14ac:dyDescent="0.25">
      <c r="A113" s="2">
        <f>'NTC PAW-A2W-TSOD'!F113*$F$2/('NTC PAW-A2W-TSOD'!F113+$F$2)</f>
        <v>1205.7815620818474</v>
      </c>
      <c r="B113" s="2">
        <f>'NTC PAW-A2W-TSOD'!G113</f>
        <v>71.000000000000171</v>
      </c>
      <c r="C113" s="40">
        <f>1/('NTC PAW-A2W-TSOD'!$J$12+'NTC PAW-A2W-TSOD'!$J$13*LN(A113)+'NTC PAW-A2W-TSOD'!$J$14*(LN(A113))^3)-273.15</f>
        <v>71.504702799560391</v>
      </c>
      <c r="D113" s="40">
        <f t="shared" si="3"/>
        <v>0.50470279956022068</v>
      </c>
    </row>
    <row r="114" spans="1:4" x14ac:dyDescent="0.25">
      <c r="A114" s="2">
        <f>'NTC PAW-A2W-TSOD'!F114*$F$2/('NTC PAW-A2W-TSOD'!F114+$F$2)</f>
        <v>1168.3146942398744</v>
      </c>
      <c r="B114" s="2">
        <f>'NTC PAW-A2W-TSOD'!G114</f>
        <v>72.000000000000512</v>
      </c>
      <c r="C114" s="40">
        <f>1/('NTC PAW-A2W-TSOD'!$J$12+'NTC PAW-A2W-TSOD'!$J$13*LN(A114)+'NTC PAW-A2W-TSOD'!$J$14*(LN(A114))^3)-273.15</f>
        <v>72.491355481679022</v>
      </c>
      <c r="D114" s="40">
        <f t="shared" si="3"/>
        <v>0.49135548167851084</v>
      </c>
    </row>
    <row r="115" spans="1:4" x14ac:dyDescent="0.25">
      <c r="A115" s="2">
        <f>'NTC PAW-A2W-TSOD'!F115*$F$2/('NTC PAW-A2W-TSOD'!F115+$F$2)</f>
        <v>1132.1742351053324</v>
      </c>
      <c r="B115" s="2">
        <f>'NTC PAW-A2W-TSOD'!G115</f>
        <v>72.999999999999943</v>
      </c>
      <c r="C115" s="40">
        <f>1/('NTC PAW-A2W-TSOD'!$J$12+'NTC PAW-A2W-TSOD'!$J$13*LN(A115)+'NTC PAW-A2W-TSOD'!$J$14*(LN(A115))^3)-273.15</f>
        <v>73.478429722936937</v>
      </c>
      <c r="D115" s="40">
        <f t="shared" si="3"/>
        <v>0.47842972293699404</v>
      </c>
    </row>
    <row r="116" spans="1:4" x14ac:dyDescent="0.25">
      <c r="A116" s="2">
        <f>'NTC PAW-A2W-TSOD'!F116*$F$2/('NTC PAW-A2W-TSOD'!F116+$F$2)</f>
        <v>1097.3085057010542</v>
      </c>
      <c r="B116" s="2">
        <f>'NTC PAW-A2W-TSOD'!G116</f>
        <v>74.000000000000227</v>
      </c>
      <c r="C116" s="40">
        <f>1/('NTC PAW-A2W-TSOD'!$J$12+'NTC PAW-A2W-TSOD'!$J$13*LN(A116)+'NTC PAW-A2W-TSOD'!$J$14*(LN(A116))^3)-273.15</f>
        <v>74.465910412509174</v>
      </c>
      <c r="D116" s="40">
        <f t="shared" si="3"/>
        <v>0.46591041250894705</v>
      </c>
    </row>
    <row r="117" spans="1:4" x14ac:dyDescent="0.25">
      <c r="A117" s="2">
        <f>'NTC PAW-A2W-TSOD'!F117*$F$2/('NTC PAW-A2W-TSOD'!F117+$F$2)</f>
        <v>1063.6679804798807</v>
      </c>
      <c r="B117" s="2">
        <f>'NTC PAW-A2W-TSOD'!G117</f>
        <v>75.000000000000284</v>
      </c>
      <c r="C117" s="40">
        <f>1/('NTC PAW-A2W-TSOD'!$J$12+'NTC PAW-A2W-TSOD'!$J$13*LN(A117)+'NTC PAW-A2W-TSOD'!$J$14*(LN(A117))^3)-273.15</f>
        <v>75.453783035105175</v>
      </c>
      <c r="D117" s="40">
        <f t="shared" si="3"/>
        <v>0.45378303510489104</v>
      </c>
    </row>
    <row r="118" spans="1:4" x14ac:dyDescent="0.25">
      <c r="A118" s="2">
        <f>'NTC PAW-A2W-TSOD'!F118*$F$2/('NTC PAW-A2W-TSOD'!F118+$F$2)</f>
        <v>1031.2051943031292</v>
      </c>
      <c r="B118" s="2">
        <f>'NTC PAW-A2W-TSOD'!G118</f>
        <v>75.999999999999943</v>
      </c>
      <c r="C118" s="40">
        <f>1/('NTC PAW-A2W-TSOD'!$J$12+'NTC PAW-A2W-TSOD'!$J$13*LN(A118)+'NTC PAW-A2W-TSOD'!$J$14*(LN(A118))^3)-273.15</f>
        <v>76.442033645840354</v>
      </c>
      <c r="D118" s="40">
        <f t="shared" si="3"/>
        <v>0.44203364584041083</v>
      </c>
    </row>
    <row r="119" spans="1:4" x14ac:dyDescent="0.25">
      <c r="A119" s="2">
        <f>'NTC PAW-A2W-TSOD'!F119*$F$2/('NTC PAW-A2W-TSOD'!F119+$F$2)</f>
        <v>999.8746533978458</v>
      </c>
      <c r="B119" s="2">
        <f>'NTC PAW-A2W-TSOD'!G119</f>
        <v>76.999999999999659</v>
      </c>
      <c r="C119" s="40">
        <f>1/('NTC PAW-A2W-TSOD'!$J$12+'NTC PAW-A2W-TSOD'!$J$13*LN(A119)+'NTC PAW-A2W-TSOD'!$J$14*(LN(A119))^3)-273.15</f>
        <v>77.430648846206452</v>
      </c>
      <c r="D119" s="40">
        <f t="shared" si="3"/>
        <v>0.43064884620679322</v>
      </c>
    </row>
    <row r="120" spans="1:4" x14ac:dyDescent="0.25">
      <c r="A120" s="2">
        <f>'NTC PAW-A2W-TSOD'!F120*$F$2/('NTC PAW-A2W-TSOD'!F120+$F$2)</f>
        <v>969.63275013991426</v>
      </c>
      <c r="B120" s="2">
        <f>'NTC PAW-A2W-TSOD'!G120</f>
        <v>78.000000000000512</v>
      </c>
      <c r="C120" s="40">
        <f>1/('NTC PAW-A2W-TSOD'!$J$12+'NTC PAW-A2W-TSOD'!$J$13*LN(A120)+'NTC PAW-A2W-TSOD'!$J$14*(LN(A120))^3)-273.15</f>
        <v>78.419615761099294</v>
      </c>
      <c r="D120" s="40">
        <f t="shared" si="3"/>
        <v>0.41961576109878251</v>
      </c>
    </row>
    <row r="121" spans="1:4" x14ac:dyDescent="0.25">
      <c r="A121" s="2">
        <f>'NTC PAW-A2W-TSOD'!F121*$F$2/('NTC PAW-A2W-TSOD'!F121+$F$2)</f>
        <v>940.4376815139309</v>
      </c>
      <c r="B121" s="2">
        <f>'NTC PAW-A2W-TSOD'!G121</f>
        <v>79.000000000000171</v>
      </c>
      <c r="C121" s="40">
        <f>1/('NTC PAW-A2W-TSOD'!$J$12+'NTC PAW-A2W-TSOD'!$J$13*LN(A121)+'NTC PAW-A2W-TSOD'!$J$14*(LN(A121))^3)-273.15</f>
        <v>79.408922016850397</v>
      </c>
      <c r="D121" s="40">
        <f t="shared" si="3"/>
        <v>0.40892201685022656</v>
      </c>
    </row>
    <row r="122" spans="1:4" x14ac:dyDescent="0.25">
      <c r="A122" s="2">
        <f>'NTC PAW-A2W-TSOD'!F122*$F$2/('NTC PAW-A2W-TSOD'!F122+$F$2)</f>
        <v>912.24937110387441</v>
      </c>
      <c r="B122" s="2">
        <f>'NTC PAW-A2W-TSOD'!G122</f>
        <v>80.000000000000568</v>
      </c>
      <c r="C122" s="40">
        <f>1/('NTC PAW-A2W-TSOD'!$J$12+'NTC PAW-A2W-TSOD'!$J$13*LN(A122)+'NTC PAW-A2W-TSOD'!$J$14*(LN(A122))^3)-273.15</f>
        <v>80.398555720235038</v>
      </c>
      <c r="D122" s="40">
        <f t="shared" si="3"/>
        <v>0.39855572023446939</v>
      </c>
    </row>
    <row r="123" spans="1:4" x14ac:dyDescent="0.25">
      <c r="A123" s="2">
        <f>'NTC PAW-A2W-TSOD'!F123*$F$2/('NTC PAW-A2W-TSOD'!F123+$F$2)</f>
        <v>885.02939447374126</v>
      </c>
      <c r="B123" s="2">
        <f>'NTC PAW-A2W-TSOD'!G123</f>
        <v>81.000000000000057</v>
      </c>
      <c r="C123" s="40">
        <f>1/('NTC PAW-A2W-TSOD'!$J$12+'NTC PAW-A2W-TSOD'!$J$13*LN(A123)+'NTC PAW-A2W-TSOD'!$J$14*(LN(A123))^3)-273.15</f>
        <v>81.38850543838646</v>
      </c>
      <c r="D123" s="40">
        <f t="shared" si="3"/>
        <v>0.38850543838640306</v>
      </c>
    </row>
    <row r="124" spans="1:4" x14ac:dyDescent="0.25">
      <c r="A124" s="2">
        <f>'NTC PAW-A2W-TSOD'!F124*$F$2/('NTC PAW-A2W-TSOD'!F124+$F$2)</f>
        <v>858.7409077996989</v>
      </c>
      <c r="B124" s="2">
        <f>'NTC PAW-A2W-TSOD'!G124</f>
        <v>81.999999999999886</v>
      </c>
      <c r="C124" s="40">
        <f>1/('NTC PAW-A2W-TSOD'!$J$12+'NTC PAW-A2W-TSOD'!$J$13*LN(A124)+'NTC PAW-A2W-TSOD'!$J$14*(LN(A124))^3)-273.15</f>
        <v>82.378760179604967</v>
      </c>
      <c r="D124" s="40">
        <f t="shared" si="3"/>
        <v>0.37876017960508079</v>
      </c>
    </row>
    <row r="125" spans="1:4" x14ac:dyDescent="0.25">
      <c r="A125" s="2">
        <f>'NTC PAW-A2W-TSOD'!F125*$F$2/('NTC PAW-A2W-TSOD'!F125+$F$2)</f>
        <v>833.34857962104661</v>
      </c>
      <c r="B125" s="2">
        <f>'NTC PAW-A2W-TSOD'!G125</f>
        <v>83.000000000000057</v>
      </c>
      <c r="C125" s="40">
        <f>1/('NTC PAW-A2W-TSOD'!$J$12+'NTC PAW-A2W-TSOD'!$J$13*LN(A125)+'NTC PAW-A2W-TSOD'!$J$14*(LN(A125))^3)-273.15</f>
        <v>83.36930937499784</v>
      </c>
      <c r="D125" s="40">
        <f t="shared" si="3"/>
        <v>0.36930937499778338</v>
      </c>
    </row>
    <row r="126" spans="1:4" x14ac:dyDescent="0.25">
      <c r="A126" s="2">
        <f>'NTC PAW-A2W-TSOD'!F126*$F$2/('NTC PAW-A2W-TSOD'!F126+$F$2)</f>
        <v>808.81852558028197</v>
      </c>
      <c r="B126" s="2">
        <f>'NTC PAW-A2W-TSOD'!G126</f>
        <v>83.999999999999716</v>
      </c>
      <c r="C126" s="40">
        <f>1/('NTC PAW-A2W-TSOD'!$J$12+'NTC PAW-A2W-TSOD'!$J$13*LN(A126)+'NTC PAW-A2W-TSOD'!$J$14*(LN(A126))^3)-273.15</f>
        <v>84.360142860927738</v>
      </c>
      <c r="D126" s="40">
        <f t="shared" si="3"/>
        <v>0.36014286092802195</v>
      </c>
    </row>
    <row r="127" spans="1:4" x14ac:dyDescent="0.25">
      <c r="A127" s="2">
        <f>'NTC PAW-A2W-TSOD'!F127*$F$2/('NTC PAW-A2W-TSOD'!F127+$F$2)</f>
        <v>785.1182460273435</v>
      </c>
      <c r="B127" s="2">
        <f>'NTC PAW-A2W-TSOD'!G127</f>
        <v>85</v>
      </c>
      <c r="C127" s="40">
        <f>1/('NTC PAW-A2W-TSOD'!$J$12+'NTC PAW-A2W-TSOD'!$J$13*LN(A127)+'NTC PAW-A2W-TSOD'!$J$14*(LN(A127))^3)-273.15</f>
        <v>85.351250862230643</v>
      </c>
      <c r="D127" s="40">
        <f t="shared" si="3"/>
        <v>0.35125086223064272</v>
      </c>
    </row>
    <row r="128" spans="1:4" x14ac:dyDescent="0.25">
      <c r="A128" s="2">
        <f>'NTC PAW-A2W-TSOD'!F128*$F$2/('NTC PAW-A2W-TSOD'!F128+$F$2)</f>
        <v>762.2165663674333</v>
      </c>
      <c r="B128" s="2">
        <f>'NTC PAW-A2W-TSOD'!G128</f>
        <v>85.999999999999432</v>
      </c>
      <c r="C128" s="40">
        <f>1/('NTC PAW-A2W-TSOD'!$J$12+'NTC PAW-A2W-TSOD'!$J$13*LN(A128)+'NTC PAW-A2W-TSOD'!$J$14*(LN(A128))^3)-273.15</f>
        <v>86.342623976161235</v>
      </c>
      <c r="D128" s="40">
        <f t="shared" si="3"/>
        <v>0.34262397616180351</v>
      </c>
    </row>
    <row r="129" spans="1:4" x14ac:dyDescent="0.25">
      <c r="A129" s="2">
        <f>'NTC PAW-A2W-TSOD'!F129*$F$2/('NTC PAW-A2W-TSOD'!F129+$F$2)</f>
        <v>740.08358003545777</v>
      </c>
      <c r="B129" s="2">
        <f>'NTC PAW-A2W-TSOD'!G129</f>
        <v>87.000000000000284</v>
      </c>
      <c r="C129" s="40">
        <f>1/('NTC PAW-A2W-TSOD'!$J$12+'NTC PAW-A2W-TSOD'!$J$13*LN(A129)+'NTC PAW-A2W-TSOD'!$J$14*(LN(A129))^3)-273.15</f>
        <v>87.334253157048636</v>
      </c>
      <c r="D129" s="40">
        <f t="shared" si="3"/>
        <v>0.33425315704835157</v>
      </c>
    </row>
    <row r="130" spans="1:4" x14ac:dyDescent="0.25">
      <c r="A130" s="2">
        <f>'NTC PAW-A2W-TSOD'!F130*$F$2/('NTC PAW-A2W-TSOD'!F130+$F$2)</f>
        <v>718.69059398523802</v>
      </c>
      <c r="B130" s="2">
        <f>'NTC PAW-A2W-TSOD'!G130</f>
        <v>88.000000000000512</v>
      </c>
      <c r="C130" s="40">
        <f>1/('NTC PAW-A2W-TSOD'!$J$12+'NTC PAW-A2W-TSOD'!$J$13*LN(A130)+'NTC PAW-A2W-TSOD'!$J$14*(LN(A130))^3)-273.15</f>
        <v>88.32612970160767</v>
      </c>
      <c r="D130" s="40">
        <f t="shared" ref="D130:D161" si="4">C130-B130</f>
        <v>0.32612970160715804</v>
      </c>
    </row>
    <row r="131" spans="1:4" x14ac:dyDescent="0.25">
      <c r="A131" s="2">
        <f>'NTC PAW-A2W-TSOD'!F131*$F$2/('NTC PAW-A2W-TSOD'!F131+$F$2)</f>
        <v>698.01007658457752</v>
      </c>
      <c r="B131" s="2">
        <f>'NTC PAW-A2W-TSOD'!G131</f>
        <v>89.000000000000284</v>
      </c>
      <c r="C131" s="40">
        <f>1/('NTC PAW-A2W-TSOD'!$J$12+'NTC PAW-A2W-TSOD'!$J$13*LN(A131)+'NTC PAW-A2W-TSOD'!$J$14*(LN(A131))^3)-273.15</f>
        <v>89.318245234903372</v>
      </c>
      <c r="D131" s="40">
        <f t="shared" si="4"/>
        <v>0.3182452349030882</v>
      </c>
    </row>
    <row r="132" spans="1:4" x14ac:dyDescent="0.25">
      <c r="A132" s="2">
        <f>'NTC PAW-A2W-TSOD'!F132*$F$2/('NTC PAW-A2W-TSOD'!F132+$F$2)</f>
        <v>678.01560781252215</v>
      </c>
      <c r="B132" s="2">
        <f>'NTC PAW-A2W-TSOD'!G132</f>
        <v>89.999999999999943</v>
      </c>
      <c r="C132" s="40">
        <f>1/('NTC PAW-A2W-TSOD'!$J$12+'NTC PAW-A2W-TSOD'!$J$13*LN(A132)+'NTC PAW-A2W-TSOD'!$J$14*(LN(A132))^3)-273.15</f>
        <v>90.310591696917527</v>
      </c>
      <c r="D132" s="40">
        <f t="shared" si="4"/>
        <v>0.3105916969175837</v>
      </c>
    </row>
    <row r="133" spans="1:4" x14ac:dyDescent="0.25">
      <c r="A133" s="2">
        <f>'NTC PAW-A2W-TSOD'!F133*$F$2/('NTC PAW-A2W-TSOD'!F133+$F$2)</f>
        <v>658.68183165835035</v>
      </c>
      <c r="B133" s="2">
        <f>'NTC PAW-A2W-TSOD'!G133</f>
        <v>91.000000000000057</v>
      </c>
      <c r="C133" s="40">
        <f>1/('NTC PAW-A2W-TSOD'!$J$12+'NTC PAW-A2W-TSOD'!$J$13*LN(A133)+'NTC PAW-A2W-TSOD'!$J$14*(LN(A133))^3)-273.15</f>
        <v>91.303161329700686</v>
      </c>
      <c r="D133" s="40">
        <f t="shared" si="4"/>
        <v>0.30316132970062881</v>
      </c>
    </row>
    <row r="134" spans="1:4" x14ac:dyDescent="0.25">
      <c r="A134" s="2">
        <f>'NTC PAW-A2W-TSOD'!F134*$F$2/('NTC PAW-A2W-TSOD'!F134+$F$2)</f>
        <v>639.98441062607378</v>
      </c>
      <c r="B134" s="2">
        <f>'NTC PAW-A2W-TSOD'!G134</f>
        <v>92</v>
      </c>
      <c r="C134" s="40">
        <f>1/('NTC PAW-A2W-TSOD'!$J$12+'NTC PAW-A2W-TSOD'!$J$13*LN(A134)+'NTC PAW-A2W-TSOD'!$J$14*(LN(A134))^3)-273.15</f>
        <v>92.29594666507893</v>
      </c>
      <c r="D134" s="40">
        <f t="shared" si="4"/>
        <v>0.29594666507892953</v>
      </c>
    </row>
    <row r="135" spans="1:4" x14ac:dyDescent="0.25">
      <c r="A135" s="2">
        <f>'NTC PAW-A2W-TSOD'!F135*$F$2/('NTC PAW-A2W-TSOD'!F135+$F$2)</f>
        <v>621.89998225186162</v>
      </c>
      <c r="B135" s="2">
        <f>'NTC PAW-A2W-TSOD'!G135</f>
        <v>93.000000000000739</v>
      </c>
      <c r="C135" s="40">
        <f>1/('NTC PAW-A2W-TSOD'!$J$12+'NTC PAW-A2W-TSOD'!$J$13*LN(A135)+'NTC PAW-A2W-TSOD'!$J$14*(LN(A135))^3)-273.15</f>
        <v>93.288940512897057</v>
      </c>
      <c r="D135" s="40">
        <f t="shared" si="4"/>
        <v>0.28894051289631761</v>
      </c>
    </row>
    <row r="136" spans="1:4" x14ac:dyDescent="0.25">
      <c r="A136" s="2">
        <f>'NTC PAW-A2W-TSOD'!F136*$F$2/('NTC PAW-A2W-TSOD'!F136+$F$2)</f>
        <v>604.4061175458454</v>
      </c>
      <c r="B136" s="2">
        <f>'NTC PAW-A2W-TSOD'!G136</f>
        <v>94</v>
      </c>
      <c r="C136" s="40">
        <f>1/('NTC PAW-A2W-TSOD'!$J$12+'NTC PAW-A2W-TSOD'!$J$13*LN(A136)+'NTC PAW-A2W-TSOD'!$J$14*(LN(A136))^3)-273.15</f>
        <v>94.282135949761425</v>
      </c>
      <c r="D136" s="40">
        <f t="shared" si="4"/>
        <v>0.28213594976142531</v>
      </c>
    </row>
    <row r="137" spans="1:4" x14ac:dyDescent="0.25">
      <c r="A137" s="2">
        <f>'NTC PAW-A2W-TSOD'!F137*$F$2/('NTC PAW-A2W-TSOD'!F137+$F$2)</f>
        <v>587.48128127278267</v>
      </c>
      <c r="B137" s="2">
        <f>'NTC PAW-A2W-TSOD'!G137</f>
        <v>95.000000000000171</v>
      </c>
      <c r="C137" s="40">
        <f>1/('NTC PAW-A2W-TSOD'!$J$12+'NTC PAW-A2W-TSOD'!$J$13*LN(A137)+'NTC PAW-A2W-TSOD'!$J$14*(LN(A137))^3)-273.15</f>
        <v>95.275526308281428</v>
      </c>
      <c r="D137" s="40">
        <f t="shared" si="4"/>
        <v>0.27552630828125757</v>
      </c>
    </row>
    <row r="138" spans="1:4" x14ac:dyDescent="0.25">
      <c r="A138" s="2">
        <f>'NTC PAW-A2W-TSOD'!F138*$F$2/('NTC PAW-A2W-TSOD'!F138+$F$2)</f>
        <v>571.10479399044323</v>
      </c>
      <c r="B138" s="2">
        <f>'NTC PAW-A2W-TSOD'!G138</f>
        <v>96.000000000000171</v>
      </c>
      <c r="C138" s="40">
        <f>1/('NTC PAW-A2W-TSOD'!$J$12+'NTC PAW-A2W-TSOD'!$J$13*LN(A138)+'NTC PAW-A2W-TSOD'!$J$14*(LN(A138))^3)-273.15</f>
        <v>96.269105166757868</v>
      </c>
      <c r="D138" s="40">
        <f t="shared" si="4"/>
        <v>0.26910516675769713</v>
      </c>
    </row>
    <row r="139" spans="1:4" x14ac:dyDescent="0.25">
      <c r="A139" s="2">
        <f>'NTC PAW-A2W-TSOD'!F139*$F$2/('NTC PAW-A2W-TSOD'!F139+$F$2)</f>
        <v>555.25679576700281</v>
      </c>
      <c r="B139" s="2">
        <f>'NTC PAW-A2W-TSOD'!G139</f>
        <v>97.000000000000682</v>
      </c>
      <c r="C139" s="40">
        <f>1/('NTC PAW-A2W-TSOD'!$J$12+'NTC PAW-A2W-TSOD'!$J$13*LN(A139)+'NTC PAW-A2W-TSOD'!$J$14*(LN(A139))^3)-273.15</f>
        <v>97.262866339326706</v>
      </c>
      <c r="D139" s="40">
        <f t="shared" si="4"/>
        <v>0.26286633932602399</v>
      </c>
    </row>
    <row r="140" spans="1:4" x14ac:dyDescent="0.25">
      <c r="A140" s="2">
        <f>'NTC PAW-A2W-TSOD'!F140*$F$2/('NTC PAW-A2W-TSOD'!F140+$F$2)</f>
        <v>539.91821150285534</v>
      </c>
      <c r="B140" s="2">
        <f>'NTC PAW-A2W-TSOD'!G140</f>
        <v>97.999999999999716</v>
      </c>
      <c r="C140" s="40">
        <f>1/('NTC PAW-A2W-TSOD'!$J$12+'NTC PAW-A2W-TSOD'!$J$13*LN(A140)+'NTC PAW-A2W-TSOD'!$J$14*(LN(A140))^3)-273.15</f>
        <v>98.25680386651635</v>
      </c>
      <c r="D140" s="40">
        <f t="shared" si="4"/>
        <v>0.25680386651663412</v>
      </c>
    </row>
    <row r="141" spans="1:4" x14ac:dyDescent="0.25">
      <c r="A141" s="2">
        <f>'NTC PAW-A2W-TSOD'!F141*$F$2/('NTC PAW-A2W-TSOD'!F141+$F$2)</f>
        <v>525.07071778477052</v>
      </c>
      <c r="B141" s="2">
        <f>'NTC PAW-A2W-TSOD'!G141</f>
        <v>99.000000000000625</v>
      </c>
      <c r="C141" s="40">
        <f>1/('NTC PAW-A2W-TSOD'!$J$12+'NTC PAW-A2W-TSOD'!$J$13*LN(A141)+'NTC PAW-A2W-TSOD'!$J$14*(LN(A141))^3)-273.15</f>
        <v>99.250912006220744</v>
      </c>
      <c r="D141" s="40">
        <f t="shared" si="4"/>
        <v>0.25091200622011911</v>
      </c>
    </row>
    <row r="142" spans="1:4" x14ac:dyDescent="0.25">
      <c r="A142" s="2">
        <f>'NTC PAW-A2W-TSOD'!F142*$F$2/('NTC PAW-A2W-TSOD'!F142+$F$2)</f>
        <v>510.69671120418724</v>
      </c>
      <c r="B142" s="2">
        <f>'NTC PAW-A2W-TSOD'!G142</f>
        <v>100</v>
      </c>
      <c r="C142" s="40">
        <f>1/('NTC PAW-A2W-TSOD'!$J$12+'NTC PAW-A2W-TSOD'!$J$13*LN(A142)+'NTC PAW-A2W-TSOD'!$J$14*(LN(A142))^3)-273.15</f>
        <v>100.24518522503831</v>
      </c>
      <c r="D142" s="40">
        <f t="shared" si="4"/>
        <v>0.24518522503831264</v>
      </c>
    </row>
    <row r="143" spans="1:4" x14ac:dyDescent="0.25">
      <c r="A143" s="2">
        <f>'NTC PAW-A2W-TSOD'!F143*$F$2/('NTC PAW-A2W-TSOD'!F143+$F$2)</f>
        <v>496.77927807327927</v>
      </c>
      <c r="B143" s="2">
        <f>'NTC PAW-A2W-TSOD'!G143</f>
        <v>101.00000000000006</v>
      </c>
      <c r="C143" s="40">
        <f>1/('NTC PAW-A2W-TSOD'!$J$12+'NTC PAW-A2W-TSOD'!$J$13*LN(A143)+'NTC PAW-A2W-TSOD'!$J$14*(LN(A143))^3)-273.15</f>
        <v>101.23961819000357</v>
      </c>
      <c r="D143" s="40">
        <f t="shared" si="4"/>
        <v>0.2396181900035117</v>
      </c>
    </row>
    <row r="144" spans="1:4" x14ac:dyDescent="0.25">
      <c r="A144" s="2">
        <f>'NTC PAW-A2W-TSOD'!F144*$F$2/('NTC PAW-A2W-TSOD'!F144+$F$2)</f>
        <v>483.30216547660223</v>
      </c>
      <c r="B144" s="2">
        <f>'NTC PAW-A2W-TSOD'!G144</f>
        <v>101.99999999999977</v>
      </c>
      <c r="C144" s="40">
        <f>1/('NTC PAW-A2W-TSOD'!$J$12+'NTC PAW-A2W-TSOD'!$J$13*LN(A144)+'NTC PAW-A2W-TSOD'!$J$14*(LN(A144))^3)-273.15</f>
        <v>102.23420576064871</v>
      </c>
      <c r="D144" s="40">
        <f t="shared" si="4"/>
        <v>0.23420576064893339</v>
      </c>
    </row>
    <row r="145" spans="1:4" x14ac:dyDescent="0.25">
      <c r="A145" s="2">
        <f>'NTC PAW-A2W-TSOD'!F145*$F$2/('NTC PAW-A2W-TSOD'!F145+$F$2)</f>
        <v>470.24975359770616</v>
      </c>
      <c r="B145" s="2">
        <f>'NTC PAW-A2W-TSOD'!G145</f>
        <v>103.00000000000011</v>
      </c>
      <c r="C145" s="40">
        <f>1/('NTC PAW-A2W-TSOD'!$J$12+'NTC PAW-A2W-TSOD'!$J$13*LN(A145)+'NTC PAW-A2W-TSOD'!$J$14*(LN(A145))^3)-273.15</f>
        <v>103.22894298141688</v>
      </c>
      <c r="D145" s="40">
        <f t="shared" si="4"/>
        <v>0.22894298141676472</v>
      </c>
    </row>
    <row r="146" spans="1:4" x14ac:dyDescent="0.25">
      <c r="A146" s="2">
        <f>'NTC PAW-A2W-TSOD'!F146*$F$2/('NTC PAW-A2W-TSOD'!F146+$F$2)</f>
        <v>457.60702926357504</v>
      </c>
      <c r="B146" s="2">
        <f>'NTC PAW-A2W-TSOD'!G146</f>
        <v>103.9999999999996</v>
      </c>
      <c r="C146" s="40">
        <f>1/('NTC PAW-A2W-TSOD'!$J$12+'NTC PAW-A2W-TSOD'!$J$13*LN(A146)+'NTC PAW-A2W-TSOD'!$J$14*(LN(A146))^3)-273.15</f>
        <v>104.22382507438562</v>
      </c>
      <c r="D146" s="40">
        <f t="shared" si="4"/>
        <v>0.22382507438601351</v>
      </c>
    </row>
    <row r="147" spans="1:4" x14ac:dyDescent="0.25">
      <c r="A147" s="2">
        <f>'NTC PAW-A2W-TSOD'!F147*$F$2/('NTC PAW-A2W-TSOD'!F147+$F$2)</f>
        <v>445.35956065173281</v>
      </c>
      <c r="B147" s="2">
        <f>'NTC PAW-A2W-TSOD'!G147</f>
        <v>105</v>
      </c>
      <c r="C147" s="40">
        <f>1/('NTC PAW-A2W-TSOD'!$J$12+'NTC PAW-A2W-TSOD'!$J$13*LN(A147)+'NTC PAW-A2W-TSOD'!$J$14*(LN(A147))^3)-273.15</f>
        <v>105.21884743230783</v>
      </c>
      <c r="D147" s="40">
        <f t="shared" si="4"/>
        <v>0.21884743230782533</v>
      </c>
    </row>
    <row r="148" spans="1:4" x14ac:dyDescent="0.25">
      <c r="A148" s="2">
        <f>'NTC PAW-A2W-TSOD'!F148*$F$2/('NTC PAW-A2W-TSOD'!F148+$F$2)</f>
        <v>433.49347310778967</v>
      </c>
      <c r="B148" s="2">
        <f>'NTC PAW-A2W-TSOD'!G148</f>
        <v>106.00000000000023</v>
      </c>
      <c r="C148" s="40">
        <f>1/('NTC PAW-A2W-TSOD'!$J$12+'NTC PAW-A2W-TSOD'!$J$13*LN(A148)+'NTC PAW-A2W-TSOD'!$J$14*(LN(A148))^3)-273.15</f>
        <v>106.21400561193462</v>
      </c>
      <c r="D148" s="40">
        <f t="shared" si="4"/>
        <v>0.21400561193439671</v>
      </c>
    </row>
    <row r="149" spans="1:4" x14ac:dyDescent="0.25">
      <c r="A149" s="2">
        <f>'NTC PAW-A2W-TSOD'!F149*$F$2/('NTC PAW-A2W-TSOD'!F149+$F$2)</f>
        <v>421.99542602305092</v>
      </c>
      <c r="B149" s="2">
        <f>'NTC PAW-A2W-TSOD'!G149</f>
        <v>107.00000000000011</v>
      </c>
      <c r="C149" s="40">
        <f>1/('NTC PAW-A2W-TSOD'!$J$12+'NTC PAW-A2W-TSOD'!$J$13*LN(A149)+'NTC PAW-A2W-TSOD'!$J$14*(LN(A149))^3)-273.15</f>
        <v>107.20929532762733</v>
      </c>
      <c r="D149" s="40">
        <f t="shared" si="4"/>
        <v>0.20929532762721692</v>
      </c>
    </row>
    <row r="150" spans="1:4" x14ac:dyDescent="0.25">
      <c r="A150" s="2">
        <f>'NTC PAW-A2W-TSOD'!F150*$F$2/('NTC PAW-A2W-TSOD'!F150+$F$2)</f>
        <v>410.85259072445149</v>
      </c>
      <c r="B150" s="2">
        <f>'NTC PAW-A2W-TSOD'!G150</f>
        <v>107.99999999999994</v>
      </c>
      <c r="C150" s="40">
        <f>1/('NTC PAW-A2W-TSOD'!$J$12+'NTC PAW-A2W-TSOD'!$J$13*LN(A150)+'NTC PAW-A2W-TSOD'!$J$14*(LN(A150))^3)-273.15</f>
        <v>108.20471244523344</v>
      </c>
      <c r="D150" s="40">
        <f t="shared" si="4"/>
        <v>0.20471244523349696</v>
      </c>
    </row>
    <row r="151" spans="1:4" x14ac:dyDescent="0.25">
      <c r="A151" s="2">
        <f>'NTC PAW-A2W-TSOD'!F151*$F$2/('NTC PAW-A2W-TSOD'!F151+$F$2)</f>
        <v>400.05262933104638</v>
      </c>
      <c r="B151" s="2">
        <f>'NTC PAW-A2W-TSOD'!G151</f>
        <v>109</v>
      </c>
      <c r="C151" s="40">
        <f>1/('NTC PAW-A2W-TSOD'!$J$12+'NTC PAW-A2W-TSOD'!$J$13*LN(A151)+'NTC PAW-A2W-TSOD'!$J$14*(LN(A151))^3)-273.15</f>
        <v>109.2002529762197</v>
      </c>
      <c r="D151" s="40">
        <f t="shared" si="4"/>
        <v>0.2002529762197014</v>
      </c>
    </row>
    <row r="152" spans="1:4" x14ac:dyDescent="0.25">
      <c r="A152" s="2">
        <f>'NTC PAW-A2W-TSOD'!F152*$F$2/('NTC PAW-A2W-TSOD'!F152+$F$2)</f>
        <v>389.58367453339287</v>
      </c>
      <c r="B152" s="2">
        <f>'NTC PAW-A2W-TSOD'!G152</f>
        <v>109.9999999999996</v>
      </c>
      <c r="C152" s="40">
        <f>1/('NTC PAW-A2W-TSOD'!$J$12+'NTC PAW-A2W-TSOD'!$J$13*LN(A152)+'NTC PAW-A2W-TSOD'!$J$14*(LN(A152))^3)-273.15</f>
        <v>110.19591307204655</v>
      </c>
      <c r="D152" s="40">
        <f t="shared" si="4"/>
        <v>0.19591307204694886</v>
      </c>
    </row>
    <row r="153" spans="1:4" x14ac:dyDescent="0.25">
      <c r="A153" s="2">
        <f>'NTC PAW-A2W-TSOD'!F153*$F$2/('NTC PAW-A2W-TSOD'!F153+$F$2)</f>
        <v>379.43431025407392</v>
      </c>
      <c r="B153" s="2">
        <f>'NTC PAW-A2W-TSOD'!G153</f>
        <v>110.99999999999989</v>
      </c>
      <c r="C153" s="40">
        <f>1/('NTC PAW-A2W-TSOD'!$J$12+'NTC PAW-A2W-TSOD'!$J$13*LN(A153)+'NTC PAW-A2W-TSOD'!$J$14*(LN(A153))^3)-273.15</f>
        <v>111.19168901878322</v>
      </c>
      <c r="D153" s="40">
        <f t="shared" si="4"/>
        <v>0.191689018783336</v>
      </c>
    </row>
    <row r="154" spans="1:4" x14ac:dyDescent="0.25">
      <c r="A154" s="2">
        <f>'NTC PAW-A2W-TSOD'!F154*$F$2/('NTC PAW-A2W-TSOD'!F154+$F$2)</f>
        <v>369.59355314968997</v>
      </c>
      <c r="B154" s="2">
        <f>'NTC PAW-A2W-TSOD'!G154</f>
        <v>112.00000000000051</v>
      </c>
      <c r="C154" s="40">
        <f>1/('NTC PAW-A2W-TSOD'!$J$12+'NTC PAW-A2W-TSOD'!$J$13*LN(A154)+'NTC PAW-A2W-TSOD'!$J$14*(LN(A154))^3)-273.15</f>
        <v>112.18757723193806</v>
      </c>
      <c r="D154" s="40">
        <f t="shared" si="4"/>
        <v>0.18757723193755282</v>
      </c>
    </row>
    <row r="155" spans="1:4" x14ac:dyDescent="0.25">
      <c r="A155" s="2">
        <f>'NTC PAW-A2W-TSOD'!F155*$F$2/('NTC PAW-A2W-TSOD'!F155+$F$2)</f>
        <v>360.05083491620053</v>
      </c>
      <c r="B155" s="2">
        <f>'NTC PAW-A2W-TSOD'!G155</f>
        <v>113.00000000000017</v>
      </c>
      <c r="C155" s="40">
        <f>1/('NTC PAW-A2W-TSOD'!$J$12+'NTC PAW-A2W-TSOD'!$J$13*LN(A155)+'NTC PAW-A2W-TSOD'!$J$14*(LN(A155))^3)-273.15</f>
        <v>113.18357425150714</v>
      </c>
      <c r="D155" s="40">
        <f t="shared" si="4"/>
        <v>0.18357425150696827</v>
      </c>
    </row>
    <row r="156" spans="1:4" x14ac:dyDescent="0.25">
      <c r="A156" s="2">
        <f>'NTC PAW-A2W-TSOD'!F156*$F$2/('NTC PAW-A2W-TSOD'!F156+$F$2)</f>
        <v>350.79598536138866</v>
      </c>
      <c r="B156" s="2">
        <f>'NTC PAW-A2W-TSOD'!G156</f>
        <v>114.00000000000045</v>
      </c>
      <c r="C156" s="40">
        <f>1/('NTC PAW-A2W-TSOD'!$J$12+'NTC PAW-A2W-TSOD'!$J$13*LN(A156)+'NTC PAW-A2W-TSOD'!$J$14*(LN(A156))^3)-273.15</f>
        <v>114.1796767372312</v>
      </c>
      <c r="D156" s="40">
        <f t="shared" si="4"/>
        <v>0.17967673723074995</v>
      </c>
    </row>
    <row r="157" spans="1:4" x14ac:dyDescent="0.25">
      <c r="A157" s="2">
        <f>'NTC PAW-A2W-TSOD'!F157*$F$2/('NTC PAW-A2W-TSOD'!F157+$F$2)</f>
        <v>341.81921620996297</v>
      </c>
      <c r="B157" s="2">
        <f>'NTC PAW-A2W-TSOD'!G157</f>
        <v>114.9999999999996</v>
      </c>
      <c r="C157" s="40">
        <f>1/('NTC PAW-A2W-TSOD'!$J$12+'NTC PAW-A2W-TSOD'!$J$13*LN(A157)+'NTC PAW-A2W-TSOD'!$J$14*(LN(A157))^3)-273.15</f>
        <v>115.17588146403671</v>
      </c>
      <c r="D157" s="40">
        <f t="shared" si="4"/>
        <v>0.17588146403710425</v>
      </c>
    </row>
    <row r="158" spans="1:4" x14ac:dyDescent="0.25">
      <c r="A158" s="2">
        <f>'NTC PAW-A2W-TSOD'!F158*$F$2/('NTC PAW-A2W-TSOD'!F158+$F$2)</f>
        <v>333.11110560805912</v>
      </c>
      <c r="B158" s="2">
        <f>'NTC PAW-A2W-TSOD'!G158</f>
        <v>116</v>
      </c>
      <c r="C158" s="40">
        <f>1/('NTC PAW-A2W-TSOD'!$J$12+'NTC PAW-A2W-TSOD'!$J$13*LN(A158)+'NTC PAW-A2W-TSOD'!$J$14*(LN(A158))^3)-273.15</f>
        <v>116.17218531767793</v>
      </c>
      <c r="D158" s="40">
        <f t="shared" si="4"/>
        <v>0.17218531767792911</v>
      </c>
    </row>
    <row r="159" spans="1:4" x14ac:dyDescent="0.25">
      <c r="A159" s="2">
        <f>'NTC PAW-A2W-TSOD'!F159*$F$2/('NTC PAW-A2W-TSOD'!F159+$F$2)</f>
        <v>324.6625832959096</v>
      </c>
      <c r="B159" s="2">
        <f>'NTC PAW-A2W-TSOD'!G159</f>
        <v>116.99999999999972</v>
      </c>
      <c r="C159" s="40">
        <f>1/('NTC PAW-A2W-TSOD'!$J$12+'NTC PAW-A2W-TSOD'!$J$13*LN(A159)+'NTC PAW-A2W-TSOD'!$J$14*(LN(A159))^3)-273.15</f>
        <v>117.16858529054213</v>
      </c>
      <c r="D159" s="40">
        <f t="shared" si="4"/>
        <v>0.16858529054240989</v>
      </c>
    </row>
    <row r="160" spans="1:4" x14ac:dyDescent="0.25">
      <c r="A160" s="2">
        <f>'NTC PAW-A2W-TSOD'!F160*$F$2/('NTC PAW-A2W-TSOD'!F160+$F$2)</f>
        <v>316.46491641832216</v>
      </c>
      <c r="B160" s="2">
        <f>'NTC PAW-A2W-TSOD'!G160</f>
        <v>117.99999999999972</v>
      </c>
      <c r="C160" s="40">
        <f>1/('NTC PAW-A2W-TSOD'!$J$12+'NTC PAW-A2W-TSOD'!$J$13*LN(A160)+'NTC PAW-A2W-TSOD'!$J$14*(LN(A160))^3)-273.15</f>
        <v>118.16507847764109</v>
      </c>
      <c r="D160" s="40">
        <f t="shared" si="4"/>
        <v>0.16507847764137296</v>
      </c>
    </row>
    <row r="161" spans="1:4" x14ac:dyDescent="0.25">
      <c r="A161" s="2">
        <f>'NTC PAW-A2W-TSOD'!F161*$F$2/('NTC PAW-A2W-TSOD'!F161+$F$2)</f>
        <v>308.50969594454853</v>
      </c>
      <c r="B161" s="2">
        <f>'NTC PAW-A2W-TSOD'!G161</f>
        <v>119</v>
      </c>
      <c r="C161" s="40">
        <f>1/('NTC PAW-A2W-TSOD'!$J$12+'NTC PAW-A2W-TSOD'!$J$13*LN(A161)+'NTC PAW-A2W-TSOD'!$J$14*(LN(A161))^3)-273.15</f>
        <v>119.16166207275432</v>
      </c>
      <c r="D161" s="40">
        <f t="shared" si="4"/>
        <v>0.16166207275432498</v>
      </c>
    </row>
    <row r="162" spans="1:4" x14ac:dyDescent="0.25">
      <c r="A162" s="2">
        <f>'NTC PAW-A2W-TSOD'!F162*$F$2/('NTC PAW-A2W-TSOD'!F162+$F$2)</f>
        <v>300.78882367002075</v>
      </c>
      <c r="B162" s="2">
        <f>'NTC PAW-A2W-TSOD'!G162</f>
        <v>120.00000000000023</v>
      </c>
      <c r="C162" s="40">
        <f>1/('NTC PAW-A2W-TSOD'!$J$12+'NTC PAW-A2W-TSOD'!$J$13*LN(A162)+'NTC PAW-A2W-TSOD'!$J$14*(LN(A162))^3)-273.15</f>
        <v>120.15833336473509</v>
      </c>
      <c r="D162" s="40">
        <f t="shared" ref="D162:D192" si="5">C162-B162</f>
        <v>0.15833336473485815</v>
      </c>
    </row>
    <row r="163" spans="1:4" x14ac:dyDescent="0.25">
      <c r="A163" s="2">
        <f>'NTC PAW-A2W-TSOD'!F163*$F$2/('NTC PAW-A2W-TSOD'!F163+$F$2)</f>
        <v>293.29449977390533</v>
      </c>
      <c r="B163" s="2">
        <f>'NTC PAW-A2W-TSOD'!G163</f>
        <v>120.99999999999966</v>
      </c>
      <c r="C163" s="40">
        <f>1/('NTC PAW-A2W-TSOD'!$J$12+'NTC PAW-A2W-TSOD'!$J$13*LN(A163)+'NTC PAW-A2W-TSOD'!$J$14*(LN(A163))^3)-273.15</f>
        <v>121.15508973396248</v>
      </c>
      <c r="D163" s="40">
        <f t="shared" si="5"/>
        <v>0.15508973396282499</v>
      </c>
    </row>
    <row r="164" spans="1:4" x14ac:dyDescent="0.25">
      <c r="A164" s="2">
        <f>'NTC PAW-A2W-TSOD'!F164*$F$2/('NTC PAW-A2W-TSOD'!F164+$F$2)</f>
        <v>286.01921090754178</v>
      </c>
      <c r="B164" s="2">
        <f>'NTC PAW-A2W-TSOD'!G164</f>
        <v>122.00000000000023</v>
      </c>
      <c r="C164" s="40">
        <f>1/('NTC PAW-A2W-TSOD'!$J$12+'NTC PAW-A2W-TSOD'!$J$13*LN(A164)+'NTC PAW-A2W-TSOD'!$J$14*(LN(A164))^3)-273.15</f>
        <v>122.15192864894306</v>
      </c>
      <c r="D164" s="40">
        <f t="shared" si="5"/>
        <v>0.1519286489428282</v>
      </c>
    </row>
    <row r="165" spans="1:4" x14ac:dyDescent="0.25">
      <c r="A165" s="2">
        <f>'NTC PAW-A2W-TSOD'!F165*$F$2/('NTC PAW-A2W-TSOD'!F165+$F$2)</f>
        <v>278.95571879009867</v>
      </c>
      <c r="B165" s="2">
        <f>'NTC PAW-A2W-TSOD'!G165</f>
        <v>123.00000000000023</v>
      </c>
      <c r="C165" s="40">
        <f>1/('NTC PAW-A2W-TSOD'!$J$12+'NTC PAW-A2W-TSOD'!$J$13*LN(A165)+'NTC PAW-A2W-TSOD'!$J$14*(LN(A165))^3)-273.15</f>
        <v>123.14884766303726</v>
      </c>
      <c r="D165" s="40">
        <f t="shared" si="5"/>
        <v>0.14884766303703145</v>
      </c>
    </row>
    <row r="166" spans="1:4" x14ac:dyDescent="0.25">
      <c r="A166" s="2">
        <f>'NTC PAW-A2W-TSOD'!F166*$F$2/('NTC PAW-A2W-TSOD'!F166+$F$2)</f>
        <v>272.09704928861976</v>
      </c>
      <c r="B166" s="2">
        <f>'NTC PAW-A2W-TSOD'!G166</f>
        <v>124.00000000000023</v>
      </c>
      <c r="C166" s="40">
        <f>1/('NTC PAW-A2W-TSOD'!$J$12+'NTC PAW-A2W-TSOD'!$J$13*LN(A166)+'NTC PAW-A2W-TSOD'!$J$14*(LN(A166))^3)-273.15</f>
        <v>124.14584441133115</v>
      </c>
      <c r="D166" s="40">
        <f t="shared" si="5"/>
        <v>0.14584441133092696</v>
      </c>
    </row>
    <row r="167" spans="1:4" x14ac:dyDescent="0.25">
      <c r="A167" s="2">
        <f>'NTC PAW-A2W-TSOD'!F167*$F$2/('NTC PAW-A2W-TSOD'!F167+$F$2)</f>
        <v>265.43648196100008</v>
      </c>
      <c r="B167" s="2">
        <f>'NTC PAW-A2W-TSOD'!G167</f>
        <v>125</v>
      </c>
      <c r="C167" s="40">
        <f>1/('NTC PAW-A2W-TSOD'!$J$12+'NTC PAW-A2W-TSOD'!$J$13*LN(A167)+'NTC PAW-A2W-TSOD'!$J$14*(LN(A167))^3)-273.15</f>
        <v>125.14291660762365</v>
      </c>
      <c r="D167" s="40">
        <f t="shared" si="5"/>
        <v>0.142916607623647</v>
      </c>
    </row>
    <row r="168" spans="1:4" x14ac:dyDescent="0.25">
      <c r="A168" s="2">
        <f>'NTC PAW-A2W-TSOD'!F168*$F$2/('NTC PAW-A2W-TSOD'!F168+$F$2)</f>
        <v>258.96754004116025</v>
      </c>
      <c r="B168" s="2">
        <f>'NTC PAW-A2W-TSOD'!G168</f>
        <v>125.99999999999989</v>
      </c>
      <c r="C168" s="40">
        <f>1/('NTC PAW-A2W-TSOD'!$J$12+'NTC PAW-A2W-TSOD'!$J$13*LN(A168)+'NTC PAW-A2W-TSOD'!$J$14*(LN(A168))^3)-273.15</f>
        <v>126.14006204153884</v>
      </c>
      <c r="D168" s="40">
        <f t="shared" si="5"/>
        <v>0.14006204153895396</v>
      </c>
    </row>
    <row r="169" spans="1:4" x14ac:dyDescent="0.25">
      <c r="A169" s="2">
        <f>'NTC PAW-A2W-TSOD'!F169*$F$2/('NTC PAW-A2W-TSOD'!F169+$F$2)</f>
        <v>252.68398084679814</v>
      </c>
      <c r="B169" s="2">
        <f>'NTC PAW-A2W-TSOD'!G169</f>
        <v>126.99999999999989</v>
      </c>
      <c r="C169" s="40">
        <f>1/('NTC PAW-A2W-TSOD'!$J$12+'NTC PAW-A2W-TSOD'!$J$13*LN(A169)+'NTC PAW-A2W-TSOD'!$J$14*(LN(A169))^3)-273.15</f>
        <v>127.1372785757506</v>
      </c>
      <c r="D169" s="40">
        <f t="shared" si="5"/>
        <v>0.13727857575071312</v>
      </c>
    </row>
    <row r="170" spans="1:4" x14ac:dyDescent="0.25">
      <c r="A170" s="2">
        <f>'NTC PAW-A2W-TSOD'!F170*$F$2/('NTC PAW-A2W-TSOD'!F170+$F$2)</f>
        <v>246.5797865909087</v>
      </c>
      <c r="B170" s="2">
        <f>'NTC PAW-A2W-TSOD'!G170</f>
        <v>128.00000000000011</v>
      </c>
      <c r="C170" s="40">
        <f>1/('NTC PAW-A2W-TSOD'!$J$12+'NTC PAW-A2W-TSOD'!$J$13*LN(A170)+'NTC PAW-A2W-TSOD'!$J$14*(LN(A170))^3)-273.15</f>
        <v>128.13456414331876</v>
      </c>
      <c r="D170" s="40">
        <f t="shared" si="5"/>
        <v>0.13456414331864153</v>
      </c>
    </row>
    <row r="171" spans="1:4" x14ac:dyDescent="0.25">
      <c r="A171" s="2">
        <f>'NTC PAW-A2W-TSOD'!F171*$F$2/('NTC PAW-A2W-TSOD'!F171+$F$2)</f>
        <v>240.64915557919213</v>
      </c>
      <c r="B171" s="2">
        <f>'NTC PAW-A2W-TSOD'!G171</f>
        <v>128.9999999999996</v>
      </c>
      <c r="C171" s="40">
        <f>1/('NTC PAW-A2W-TSOD'!$J$12+'NTC PAW-A2W-TSOD'!$J$13*LN(A171)+'NTC PAW-A2W-TSOD'!$J$14*(LN(A171))^3)-273.15</f>
        <v>129.13191674512979</v>
      </c>
      <c r="D171" s="40">
        <f t="shared" si="5"/>
        <v>0.1319167451301837</v>
      </c>
    </row>
    <row r="172" spans="1:4" x14ac:dyDescent="0.25">
      <c r="A172" s="2">
        <f>'NTC PAW-A2W-TSOD'!F172*$F$2/('NTC PAW-A2W-TSOD'!F172+$F$2)</f>
        <v>234.88649377621883</v>
      </c>
      <c r="B172" s="2">
        <f>'NTC PAW-A2W-TSOD'!G172</f>
        <v>130.00000000000034</v>
      </c>
      <c r="C172" s="40">
        <f>1/('NTC PAW-A2W-TSOD'!$J$12+'NTC PAW-A2W-TSOD'!$J$13*LN(A172)+'NTC PAW-A2W-TSOD'!$J$14*(LN(A172))^3)-273.15</f>
        <v>130.12933444744289</v>
      </c>
      <c r="D172" s="40">
        <f t="shared" si="5"/>
        <v>0.1293344474425453</v>
      </c>
    </row>
    <row r="173" spans="1:4" x14ac:dyDescent="0.25">
      <c r="A173" s="2">
        <f>'NTC PAW-A2W-TSOD'!F173*$F$2/('NTC PAW-A2W-TSOD'!F173+$F$2)</f>
        <v>229.28640672414221</v>
      </c>
      <c r="B173" s="2">
        <f>'NTC PAW-A2W-TSOD'!G173</f>
        <v>131.00000000000006</v>
      </c>
      <c r="C173" s="40">
        <f>1/('NTC PAW-A2W-TSOD'!$J$12+'NTC PAW-A2W-TSOD'!$J$13*LN(A173)+'NTC PAW-A2W-TSOD'!$J$14*(LN(A173))^3)-273.15</f>
        <v>131.12681537952142</v>
      </c>
      <c r="D173" s="40">
        <f t="shared" si="5"/>
        <v>0.12681537952136068</v>
      </c>
    </row>
    <row r="174" spans="1:4" x14ac:dyDescent="0.25">
      <c r="A174" s="2">
        <f>'NTC PAW-A2W-TSOD'!F174*$F$2/('NTC PAW-A2W-TSOD'!F174+$F$2)</f>
        <v>223.84369179826206</v>
      </c>
      <c r="B174" s="2">
        <f>'NTC PAW-A2W-TSOD'!G174</f>
        <v>132.00000000000045</v>
      </c>
      <c r="C174" s="40">
        <f>1/('NTC PAW-A2W-TSOD'!$J$12+'NTC PAW-A2W-TSOD'!$J$13*LN(A174)+'NTC PAW-A2W-TSOD'!$J$14*(LN(A174))^3)-273.15</f>
        <v>132.12435773137321</v>
      </c>
      <c r="D174" s="40">
        <f t="shared" si="5"/>
        <v>0.12435773137275419</v>
      </c>
    </row>
    <row r="175" spans="1:4" x14ac:dyDescent="0.25">
      <c r="A175" s="2">
        <f>'NTC PAW-A2W-TSOD'!F175*$F$2/('NTC PAW-A2W-TSOD'!F175+$F$2)</f>
        <v>218.55333078476195</v>
      </c>
      <c r="B175" s="2">
        <f>'NTC PAW-A2W-TSOD'!G175</f>
        <v>132.99999999999943</v>
      </c>
      <c r="C175" s="40">
        <f>1/('NTC PAW-A2W-TSOD'!$J$12+'NTC PAW-A2W-TSOD'!$J$13*LN(A175)+'NTC PAW-A2W-TSOD'!$J$14*(LN(A175))^3)-273.15</f>
        <v>133.1219597515634</v>
      </c>
      <c r="D175" s="40">
        <f t="shared" si="5"/>
        <v>0.12195975156396344</v>
      </c>
    </row>
    <row r="176" spans="1:4" x14ac:dyDescent="0.25">
      <c r="A176" s="2">
        <f>'NTC PAW-A2W-TSOD'!F176*$F$2/('NTC PAW-A2W-TSOD'!F176+$F$2)</f>
        <v>213.41048276629476</v>
      </c>
      <c r="B176" s="2">
        <f>'NTC PAW-A2W-TSOD'!G176</f>
        <v>134.00000000000017</v>
      </c>
      <c r="C176" s="40">
        <f>1/('NTC PAW-A2W-TSOD'!$J$12+'NTC PAW-A2W-TSOD'!$J$13*LN(A176)+'NTC PAW-A2W-TSOD'!$J$14*(LN(A176))^3)-273.15</f>
        <v>134.1196197451282</v>
      </c>
      <c r="D176" s="40">
        <f t="shared" si="5"/>
        <v>0.11961974512803408</v>
      </c>
    </row>
    <row r="177" spans="1:4" x14ac:dyDescent="0.25">
      <c r="A177" s="2">
        <f>'NTC PAW-A2W-TSOD'!F177*$F$2/('NTC PAW-A2W-TSOD'!F177+$F$2)</f>
        <v>208.41047730209002</v>
      </c>
      <c r="B177" s="2">
        <f>'NTC PAW-A2W-TSOD'!G177</f>
        <v>135.00000000000017</v>
      </c>
      <c r="C177" s="40">
        <f>1/('NTC PAW-A2W-TSOD'!$J$12+'NTC PAW-A2W-TSOD'!$J$13*LN(A177)+'NTC PAW-A2W-TSOD'!$J$14*(LN(A177))^3)-273.15</f>
        <v>135.11733607155134</v>
      </c>
      <c r="D177" s="40">
        <f t="shared" si="5"/>
        <v>0.11733607155116488</v>
      </c>
    </row>
    <row r="178" spans="1:4" x14ac:dyDescent="0.25">
      <c r="A178" s="2">
        <f>'NTC PAW-A2W-TSOD'!F178*$F$2/('NTC PAW-A2W-TSOD'!F178+$F$2)</f>
        <v>203.54880788948614</v>
      </c>
      <c r="B178" s="2">
        <f>'NTC PAW-A2W-TSOD'!G178</f>
        <v>135.99999999999966</v>
      </c>
      <c r="C178" s="40">
        <f>1/('NTC PAW-A2W-TSOD'!$J$12+'NTC PAW-A2W-TSOD'!$J$13*LN(A178)+'NTC PAW-A2W-TSOD'!$J$14*(LN(A178))^3)-273.15</f>
        <v>136.1151071428373</v>
      </c>
      <c r="D178" s="40">
        <f t="shared" si="5"/>
        <v>0.11510714283764401</v>
      </c>
    </row>
    <row r="179" spans="1:4" x14ac:dyDescent="0.25">
      <c r="A179" s="2">
        <f>'NTC PAW-A2W-TSOD'!F179*$F$2/('NTC PAW-A2W-TSOD'!F179+$F$2)</f>
        <v>198.82112569473662</v>
      </c>
      <c r="B179" s="2">
        <f>'NTC PAW-A2W-TSOD'!G179</f>
        <v>137.00000000000017</v>
      </c>
      <c r="C179" s="40">
        <f>1/('NTC PAW-A2W-TSOD'!$J$12+'NTC PAW-A2W-TSOD'!$J$13*LN(A179)+'NTC PAW-A2W-TSOD'!$J$14*(LN(A179))^3)-273.15</f>
        <v>137.11293142164971</v>
      </c>
      <c r="D179" s="40">
        <f t="shared" si="5"/>
        <v>0.11293142164953451</v>
      </c>
    </row>
    <row r="180" spans="1:4" x14ac:dyDescent="0.25">
      <c r="A180" s="2">
        <f>'NTC PAW-A2W-TSOD'!F180*$F$2/('NTC PAW-A2W-TSOD'!F180+$F$2)</f>
        <v>194.22323354130927</v>
      </c>
      <c r="B180" s="2">
        <f>'NTC PAW-A2W-TSOD'!G180</f>
        <v>137.99999999999932</v>
      </c>
      <c r="C180" s="40">
        <f>1/('NTC PAW-A2W-TSOD'!$J$12+'NTC PAW-A2W-TSOD'!$J$13*LN(A180)+'NTC PAW-A2W-TSOD'!$J$14*(LN(A180))^3)-273.15</f>
        <v>138.11080741951781</v>
      </c>
      <c r="D180" s="40">
        <f t="shared" si="5"/>
        <v>0.11080741951849404</v>
      </c>
    </row>
    <row r="181" spans="1:4" x14ac:dyDescent="0.25">
      <c r="A181" s="2">
        <f>'NTC PAW-A2W-TSOD'!F181*$F$2/('NTC PAW-A2W-TSOD'!F181+$F$2)</f>
        <v>189.7510801443872</v>
      </c>
      <c r="B181" s="2">
        <f>'NTC PAW-A2W-TSOD'!G181</f>
        <v>138.99999999999989</v>
      </c>
      <c r="C181" s="40">
        <f>1/('NTC PAW-A2W-TSOD'!$J$12+'NTC PAW-A2W-TSOD'!$J$13*LN(A181)+'NTC PAW-A2W-TSOD'!$J$14*(LN(A181))^3)-273.15</f>
        <v>139.10873369512512</v>
      </c>
      <c r="D181" s="40">
        <f t="shared" si="5"/>
        <v>0.10873369512523823</v>
      </c>
    </row>
    <row r="182" spans="1:4" x14ac:dyDescent="0.25">
      <c r="A182" s="2">
        <f>'NTC PAW-A2W-TSOD'!F182*$F$2/('NTC PAW-A2W-TSOD'!F182+$F$2)</f>
        <v>185.40075458102726</v>
      </c>
      <c r="B182" s="2">
        <f>'NTC PAW-A2W-TSOD'!G182</f>
        <v>140.00000000000006</v>
      </c>
      <c r="C182" s="40">
        <f>1/('NTC PAW-A2W-TSOD'!$J$12+'NTC PAW-A2W-TSOD'!$J$13*LN(A182)+'NTC PAW-A2W-TSOD'!$J$14*(LN(A182))^3)-273.15</f>
        <v>140.10670885264648</v>
      </c>
      <c r="D182" s="40">
        <f t="shared" si="5"/>
        <v>0.10670885264642038</v>
      </c>
    </row>
    <row r="183" spans="1:4" x14ac:dyDescent="0.25">
      <c r="A183" s="2">
        <f>'NTC PAW-A2W-TSOD'!F183*$F$2/('NTC PAW-A2W-TSOD'!F183+$F$2)</f>
        <v>181.16848098559964</v>
      </c>
      <c r="B183" s="2">
        <f>'NTC PAW-A2W-TSOD'!G183</f>
        <v>141.00000000000017</v>
      </c>
      <c r="C183" s="40">
        <f>1/('NTC PAW-A2W-TSOD'!$J$12+'NTC PAW-A2W-TSOD'!$J$13*LN(A183)+'NTC PAW-A2W-TSOD'!$J$14*(LN(A183))^3)-273.15</f>
        <v>141.10473154016381</v>
      </c>
      <c r="D183" s="40">
        <f t="shared" si="5"/>
        <v>0.10473154016364106</v>
      </c>
    </row>
    <row r="184" spans="1:4" x14ac:dyDescent="0.25">
      <c r="A184" s="2">
        <f>'NTC PAW-A2W-TSOD'!F184*$F$2/('NTC PAW-A2W-TSOD'!F184+$F$2)</f>
        <v>177.05061346088135</v>
      </c>
      <c r="B184" s="2">
        <f>'NTC PAW-A2W-TSOD'!G184</f>
        <v>142.00000000000045</v>
      </c>
      <c r="C184" s="40">
        <f>1/('NTC PAW-A2W-TSOD'!$J$12+'NTC PAW-A2W-TSOD'!$J$13*LN(A184)+'NTC PAW-A2W-TSOD'!$J$14*(LN(A184))^3)-273.15</f>
        <v>142.10280044813391</v>
      </c>
      <c r="D184" s="40">
        <f t="shared" si="5"/>
        <v>0.10280044813345057</v>
      </c>
    </row>
    <row r="185" spans="1:4" x14ac:dyDescent="0.25">
      <c r="A185" s="2">
        <f>'NTC PAW-A2W-TSOD'!F185*$F$2/('NTC PAW-A2W-TSOD'!F185+$F$2)</f>
        <v>173.04363119544198</v>
      </c>
      <c r="B185" s="2">
        <f>'NTC PAW-A2W-TSOD'!G185</f>
        <v>142.99999999999972</v>
      </c>
      <c r="C185" s="40">
        <f>1/('NTC PAW-A2W-TSOD'!$J$12+'NTC PAW-A2W-TSOD'!$J$13*LN(A185)+'NTC PAW-A2W-TSOD'!$J$14*(LN(A185))^3)-273.15</f>
        <v>143.10091430791533</v>
      </c>
      <c r="D185" s="40">
        <f t="shared" si="5"/>
        <v>0.10091430791561606</v>
      </c>
    </row>
    <row r="186" spans="1:4" x14ac:dyDescent="0.25">
      <c r="A186" s="2">
        <f>'NTC PAW-A2W-TSOD'!F186*$F$2/('NTC PAW-A2W-TSOD'!F186+$F$2)</f>
        <v>169.14413377842908</v>
      </c>
      <c r="B186" s="2">
        <f>'NTC PAW-A2W-TSOD'!G186</f>
        <v>144</v>
      </c>
      <c r="C186" s="40">
        <f>1/('NTC PAW-A2W-TSOD'!$J$12+'NTC PAW-A2W-TSOD'!$J$13*LN(A186)+'NTC PAW-A2W-TSOD'!$J$14*(LN(A186))^3)-273.15</f>
        <v>144.09907189035624</v>
      </c>
      <c r="D186" s="40">
        <f t="shared" si="5"/>
        <v>9.907189035624242E-2</v>
      </c>
    </row>
    <row r="187" spans="1:4" x14ac:dyDescent="0.25">
      <c r="A187" s="2">
        <f>'NTC PAW-A2W-TSOD'!F187*$F$2/('NTC PAW-A2W-TSOD'!F187+$F$2)</f>
        <v>165.34883670332678</v>
      </c>
      <c r="B187" s="2">
        <f>'NTC PAW-A2W-TSOD'!G187</f>
        <v>144.99999999999943</v>
      </c>
      <c r="C187" s="40">
        <f>1/('NTC PAW-A2W-TSOD'!$J$12+'NTC PAW-A2W-TSOD'!$J$13*LN(A187)+'NTC PAW-A2W-TSOD'!$J$14*(LN(A187))^3)-273.15</f>
        <v>145.09727200442489</v>
      </c>
      <c r="D187" s="40">
        <f t="shared" si="5"/>
        <v>9.727200442546291E-2</v>
      </c>
    </row>
    <row r="188" spans="1:4" x14ac:dyDescent="0.25">
      <c r="A188" s="2">
        <f>'NTC PAW-A2W-TSOD'!F188*$F$2/('NTC PAW-A2W-TSOD'!F188+$F$2)</f>
        <v>161.65456705249153</v>
      </c>
      <c r="B188" s="2">
        <f>'NTC PAW-A2W-TSOD'!G188</f>
        <v>145.99999999999994</v>
      </c>
      <c r="C188" s="40">
        <f>1/('NTC PAW-A2W-TSOD'!$J$12+'NTC PAW-A2W-TSOD'!$J$13*LN(A188)+'NTC PAW-A2W-TSOD'!$J$14*(LN(A188))^3)-273.15</f>
        <v>146.09551349590646</v>
      </c>
      <c r="D188" s="40">
        <f t="shared" si="5"/>
        <v>9.5513495906516255E-2</v>
      </c>
    </row>
    <row r="189" spans="1:4" x14ac:dyDescent="0.25">
      <c r="A189" s="2">
        <f>'NTC PAW-A2W-TSOD'!F189*$F$2/('NTC PAW-A2W-TSOD'!F189+$F$2)</f>
        <v>158.05825935483904</v>
      </c>
      <c r="B189" s="2">
        <f>'NTC PAW-A2W-TSOD'!G189</f>
        <v>146.99999999999983</v>
      </c>
      <c r="C189" s="40">
        <f>1/('NTC PAW-A2W-TSOD'!$J$12+'NTC PAW-A2W-TSOD'!$J$13*LN(A189)+'NTC PAW-A2W-TSOD'!$J$14*(LN(A189))^3)-273.15</f>
        <v>147.09379524613257</v>
      </c>
      <c r="D189" s="40">
        <f t="shared" si="5"/>
        <v>9.3795246132742705E-2</v>
      </c>
    </row>
    <row r="190" spans="1:4" x14ac:dyDescent="0.25">
      <c r="A190" s="2">
        <f>'NTC PAW-A2W-TSOD'!F190*$F$2/('NTC PAW-A2W-TSOD'!F190+$F$2)</f>
        <v>154.55695160918845</v>
      </c>
      <c r="B190" s="2">
        <f>'NTC PAW-A2W-TSOD'!G190</f>
        <v>148</v>
      </c>
      <c r="C190" s="40">
        <f>1/('NTC PAW-A2W-TSOD'!$J$12+'NTC PAW-A2W-TSOD'!$J$13*LN(A190)+'NTC PAW-A2W-TSOD'!$J$14*(LN(A190))^3)-273.15</f>
        <v>148.09211617077284</v>
      </c>
      <c r="D190" s="40">
        <f t="shared" si="5"/>
        <v>9.2116170772840178E-2</v>
      </c>
    </row>
    <row r="191" spans="1:4" x14ac:dyDescent="0.25">
      <c r="A191" s="2">
        <f>'NTC PAW-A2W-TSOD'!F191*$F$2/('NTC PAW-A2W-TSOD'!F191+$F$2)</f>
        <v>151.14778146629158</v>
      </c>
      <c r="B191" s="2">
        <f>'NTC PAW-A2W-TSOD'!G191</f>
        <v>148.99999999999932</v>
      </c>
      <c r="C191" s="40">
        <f>1/('NTC PAW-A2W-TSOD'!$J$12+'NTC PAW-A2W-TSOD'!$J$13*LN(A191)+'NTC PAW-A2W-TSOD'!$J$14*(LN(A191))^3)-273.15</f>
        <v>149.09047521866034</v>
      </c>
      <c r="D191" s="40">
        <f t="shared" si="5"/>
        <v>9.0475218661026702E-2</v>
      </c>
    </row>
    <row r="192" spans="1:4" x14ac:dyDescent="0.25">
      <c r="A192" s="2">
        <f>'NTC PAW-A2W-TSOD'!F192*$F$2/('NTC PAW-A2W-TSOD'!F192+$F$2)</f>
        <v>147.82798256273668</v>
      </c>
      <c r="B192" s="2">
        <f>'NTC PAW-A2W-TSOD'!G192</f>
        <v>150.00000000000011</v>
      </c>
      <c r="C192" s="40">
        <f>1/('NTC PAW-A2W-TSOD'!$J$12+'NTC PAW-A2W-TSOD'!$J$13*LN(A192)+'NTC PAW-A2W-TSOD'!$J$14*(LN(A192))^3)-273.15</f>
        <v>150.08887137067143</v>
      </c>
      <c r="D192" s="40">
        <f t="shared" si="5"/>
        <v>8.8871370671313343E-2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Temperature Output</vt:lpstr>
      <vt:lpstr>Adjustment</vt:lpstr>
      <vt:lpstr>NTC PAW-A2W-TSOD</vt:lpstr>
      <vt:lpstr>MCP4151</vt:lpstr>
      <vt:lpstr>Parallel Resistor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2024-09-29T12:14:51Z</dcterms:created>
  <dcterms:modified xsi:type="dcterms:W3CDTF">2024-09-29T12:20:56Z</dcterms:modified>
</cp:coreProperties>
</file>